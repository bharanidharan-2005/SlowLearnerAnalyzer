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A" sheetId="1" r:id="rId4"/>
    <sheet state="visible" name="II B" sheetId="2" r:id="rId5"/>
    <sheet state="visible" name="III A" sheetId="3" r:id="rId6"/>
    <sheet state="visible" name="III B" sheetId="4" r:id="rId7"/>
    <sheet state="visible" name="IV A" sheetId="5" r:id="rId8"/>
    <sheet state="visible" name="IV B" sheetId="6" r:id="rId9"/>
    <sheet state="visible" name="TOPPERS" sheetId="7" r:id="rId10"/>
  </sheets>
  <definedNames>
    <definedName hidden="1" localSheetId="2" name="_xlnm._FilterDatabase">'III A'!$A$3:$L$69</definedName>
    <definedName hidden="1" localSheetId="3" name="_xlnm._FilterDatabase">'III B'!$A$4:$L$64</definedName>
  </definedNames>
  <calcPr/>
  <extLst>
    <ext uri="GoogleSheetsCustomDataVersion2">
      <go:sheetsCustomData xmlns:go="http://customooxmlschemas.google.com/" r:id="rId11" roundtripDataChecksum="8jIwmVKFBy7lNVmGA7eSBPvtUP+P9kol3Q1tRpTO824="/>
    </ext>
  </extLst>
</workbook>
</file>

<file path=xl/sharedStrings.xml><?xml version="1.0" encoding="utf-8"?>
<sst xmlns="http://schemas.openxmlformats.org/spreadsheetml/2006/main" count="940" uniqueCount="614">
  <si>
    <t>S.NO</t>
  </si>
  <si>
    <t>SPR NO</t>
  </si>
  <si>
    <t>REGISTER NUMBER</t>
  </si>
  <si>
    <t>NAME</t>
  </si>
  <si>
    <t>INTERNAL ASSESSMENT 1</t>
  </si>
  <si>
    <t>18.9.25</t>
  </si>
  <si>
    <t>19.09.25</t>
  </si>
  <si>
    <t>22.09.25</t>
  </si>
  <si>
    <t>23.09.25</t>
  </si>
  <si>
    <t>24.09.25</t>
  </si>
  <si>
    <t>DM</t>
  </si>
  <si>
    <t>DPCO</t>
  </si>
  <si>
    <t>FDS</t>
  </si>
  <si>
    <t>DS</t>
  </si>
  <si>
    <t>OOPS</t>
  </si>
  <si>
    <t>ABINAYA K</t>
  </si>
  <si>
    <t>ABINAYASRI T</t>
  </si>
  <si>
    <t>ABIRAMI R</t>
  </si>
  <si>
    <t>ALAGUPARAMESAN S</t>
  </si>
  <si>
    <t>ANBU RAJA T</t>
  </si>
  <si>
    <t>ANUSIYA J</t>
  </si>
  <si>
    <t>ARAVINDHAN S</t>
  </si>
  <si>
    <t>BALA SUDHAN M</t>
  </si>
  <si>
    <t>BALAKRISHNAN AL</t>
  </si>
  <si>
    <t>DEVAPRASATH R</t>
  </si>
  <si>
    <t>DIVYASRI B</t>
  </si>
  <si>
    <t>EDISON S</t>
  </si>
  <si>
    <t>AB</t>
  </si>
  <si>
    <t>ELAMPARITHI P</t>
  </si>
  <si>
    <t>GLARIYA CHRISH S</t>
  </si>
  <si>
    <t>HARISHROSHAN R</t>
  </si>
  <si>
    <t>JANANI SRI S</t>
  </si>
  <si>
    <t>JOY BLESSY M</t>
  </si>
  <si>
    <t>KABILESH A</t>
  </si>
  <si>
    <t>KALAIARASI K</t>
  </si>
  <si>
    <t>KALAIYARASAN K</t>
  </si>
  <si>
    <t>KARTHIKA R</t>
  </si>
  <si>
    <t>KEERTHINI R</t>
  </si>
  <si>
    <t>KEERTHITHA S</t>
  </si>
  <si>
    <t>KIRUTHIKA K</t>
  </si>
  <si>
    <t>LAKSHMAN T</t>
  </si>
  <si>
    <t>LAKSHMIPRIYA G</t>
  </si>
  <si>
    <t>LOGESHWARI D</t>
  </si>
  <si>
    <t>MANIKANDAN S</t>
  </si>
  <si>
    <t>MUTHUPANDI P</t>
  </si>
  <si>
    <t>NAPSHEELA A</t>
  </si>
  <si>
    <t>NAVEEN KARTHIK T</t>
  </si>
  <si>
    <t>NAVEENA N</t>
  </si>
  <si>
    <t>NITHISHKUMAR J</t>
  </si>
  <si>
    <t>PANDIYARAJAN M</t>
  </si>
  <si>
    <t>PANDIYARAJAN S</t>
  </si>
  <si>
    <t>PAUL PINDO S</t>
  </si>
  <si>
    <t>PAVITHRA K</t>
  </si>
  <si>
    <t>PEER SHEIK MYDEEN P</t>
  </si>
  <si>
    <t>PONMAGAR M</t>
  </si>
  <si>
    <t>PREMKUMAR K</t>
  </si>
  <si>
    <t>PREMKUMAR N</t>
  </si>
  <si>
    <t>RAKESH R</t>
  </si>
  <si>
    <t>ROHITH R</t>
  </si>
  <si>
    <t>SAHAANA S</t>
  </si>
  <si>
    <t>SAKTHI MEENASHI A</t>
  </si>
  <si>
    <t>SATHISH KUMAR S</t>
  </si>
  <si>
    <t>SELVAGANAPATHY G</t>
  </si>
  <si>
    <t>SELVASREE V</t>
  </si>
  <si>
    <t>SHANMATHY K</t>
  </si>
  <si>
    <t>SHIRIN RIFANA M</t>
  </si>
  <si>
    <t>SHRI NITHI NACHIYAR S</t>
  </si>
  <si>
    <t>SOLAISELVI K</t>
  </si>
  <si>
    <t>SONAI PRIYAN S</t>
  </si>
  <si>
    <t>SRIRAM A</t>
  </si>
  <si>
    <t>SUBALAKSHMI V</t>
  </si>
  <si>
    <t>SUBHANU P</t>
  </si>
  <si>
    <t>SUMAYA BANU R</t>
  </si>
  <si>
    <t>SWATHINI R</t>
  </si>
  <si>
    <t>SWETHA R</t>
  </si>
  <si>
    <t>TAMILARASI V</t>
  </si>
  <si>
    <t>UDITKARTHIK B S</t>
  </si>
  <si>
    <t>YOGALAKSHMI N</t>
  </si>
  <si>
    <t>YUGESH D</t>
  </si>
  <si>
    <t>YUVAKARTHIKEYAN S</t>
  </si>
  <si>
    <t>YUVARAJ S</t>
  </si>
  <si>
    <t>ABDUL JAAVITH</t>
  </si>
  <si>
    <t>MATHIVATHANI</t>
  </si>
  <si>
    <t>TOTAL</t>
  </si>
  <si>
    <t>PRESENT</t>
  </si>
  <si>
    <t>ABSENT</t>
  </si>
  <si>
    <t>PASS</t>
  </si>
  <si>
    <t>FAIL</t>
  </si>
  <si>
    <t>PASS %</t>
  </si>
  <si>
    <t>0-25</t>
  </si>
  <si>
    <t>26-49</t>
  </si>
  <si>
    <t>50-55</t>
  </si>
  <si>
    <t>56-60</t>
  </si>
  <si>
    <t>61-70</t>
  </si>
  <si>
    <t>71-80</t>
  </si>
  <si>
    <t>81-90</t>
  </si>
  <si>
    <t>91-100</t>
  </si>
  <si>
    <t>REG NUMBER</t>
  </si>
  <si>
    <t>ABIRAMI M</t>
  </si>
  <si>
    <t>ADITHYA CHOLAN A</t>
  </si>
  <si>
    <t>AISWARYA G</t>
  </si>
  <si>
    <t>ANUSHYA C</t>
  </si>
  <si>
    <t>APARNA C</t>
  </si>
  <si>
    <t>DANIEL S</t>
  </si>
  <si>
    <t>DEEPAN C</t>
  </si>
  <si>
    <t>DHARUN PANDIAN I</t>
  </si>
  <si>
    <t>ELAVENDHAN P</t>
  </si>
  <si>
    <t>GOKILA N</t>
  </si>
  <si>
    <t>GOWTHAMAN N</t>
  </si>
  <si>
    <t>GUHAN G</t>
  </si>
  <si>
    <t>HARI RAMACHANDRAN V</t>
  </si>
  <si>
    <t>HARINI VN</t>
  </si>
  <si>
    <t>IQRAAM M</t>
  </si>
  <si>
    <t>JAYA SRI D</t>
  </si>
  <si>
    <t>JOTHIKA P</t>
  </si>
  <si>
    <t>KAILASH S</t>
  </si>
  <si>
    <t>KAVYA C</t>
  </si>
  <si>
    <t>KISHORE G</t>
  </si>
  <si>
    <t>KISHORE R</t>
  </si>
  <si>
    <t>LAKSHMI PR</t>
  </si>
  <si>
    <t>LAVANYA S</t>
  </si>
  <si>
    <t>MADHAVAN K</t>
  </si>
  <si>
    <t>MANGAIARKARASI G</t>
  </si>
  <si>
    <t>MEYYANATHAN VIGNESH S</t>
  </si>
  <si>
    <t>MOHA ABOONA SRI P</t>
  </si>
  <si>
    <t>MONISHA S</t>
  </si>
  <si>
    <t>MUTHU KRISHNAN N</t>
  </si>
  <si>
    <t>NAGARANI R</t>
  </si>
  <si>
    <t>PANDI HARISHINI V</t>
  </si>
  <si>
    <t>PRASANTH R</t>
  </si>
  <si>
    <t>PRAVEEN C</t>
  </si>
  <si>
    <t>PRIYADHARSHNI G</t>
  </si>
  <si>
    <t>RAGAVAN R</t>
  </si>
  <si>
    <t>RAGHAVAN T</t>
  </si>
  <si>
    <t>RAHMAN A</t>
  </si>
  <si>
    <t>RAM SANTHOSH R</t>
  </si>
  <si>
    <t>ROHAN KRITHISH V</t>
  </si>
  <si>
    <t>SAKTHIRAJA R</t>
  </si>
  <si>
    <t>SARATHI P</t>
  </si>
  <si>
    <t>SARMILI SREE S</t>
  </si>
  <si>
    <t>SATHIYA SRI K</t>
  </si>
  <si>
    <t>SELVAKUMAR K</t>
  </si>
  <si>
    <t>SHALINI S</t>
  </si>
  <si>
    <t>SHANDEEPTHA G</t>
  </si>
  <si>
    <t>SHEIK ABDULLA J</t>
  </si>
  <si>
    <t>SHEIK JAMAL MOHAMED S</t>
  </si>
  <si>
    <t>SRIHARI B M</t>
  </si>
  <si>
    <t>SRIRAM S</t>
  </si>
  <si>
    <t>SUBIKSHA S</t>
  </si>
  <si>
    <t>SUGEENTHIRAN H</t>
  </si>
  <si>
    <t>SUGUMARI S</t>
  </si>
  <si>
    <t>THIVYA SHREE S</t>
  </si>
  <si>
    <t>THULASINATH M</t>
  </si>
  <si>
    <t>VINITH KUMAR M</t>
  </si>
  <si>
    <t>YOGAMANIKANDAN V</t>
  </si>
  <si>
    <t>ROMANATHAN R</t>
  </si>
  <si>
    <t>ARUL RICHARD SR</t>
  </si>
  <si>
    <t>ALAGURAJA PL</t>
  </si>
  <si>
    <t>FRETRIC JEBA A</t>
  </si>
  <si>
    <t>KUTTI RASU S</t>
  </si>
  <si>
    <t>RANJITHKUMAR M</t>
  </si>
  <si>
    <t>0-49</t>
  </si>
  <si>
    <t>REGISTER NO</t>
  </si>
  <si>
    <t>25.09.25</t>
  </si>
  <si>
    <t>CN</t>
  </si>
  <si>
    <t>CD</t>
  </si>
  <si>
    <t>CCS</t>
  </si>
  <si>
    <t>DW</t>
  </si>
  <si>
    <t>WT</t>
  </si>
  <si>
    <t>DC</t>
  </si>
  <si>
    <t>DDMS</t>
  </si>
  <si>
    <t>DRRM</t>
  </si>
  <si>
    <t>911723104001</t>
  </si>
  <si>
    <t>ABDULLA R</t>
  </si>
  <si>
    <t>911723104002</t>
  </si>
  <si>
    <t>ABISHA R</t>
  </si>
  <si>
    <t>911723104004</t>
  </si>
  <si>
    <t>AGATHIYAN K</t>
  </si>
  <si>
    <t>911723104006</t>
  </si>
  <si>
    <t>AKASH A</t>
  </si>
  <si>
    <t>911723104007</t>
  </si>
  <si>
    <t>ALAGU NANDHINI M</t>
  </si>
  <si>
    <t>911723104009</t>
  </si>
  <si>
    <t>AMEER ZF</t>
  </si>
  <si>
    <t>911723104010</t>
  </si>
  <si>
    <t>ANANDA MURUGAN M</t>
  </si>
  <si>
    <t>911723104011</t>
  </si>
  <si>
    <t>ANISHA A</t>
  </si>
  <si>
    <t>911723104012</t>
  </si>
  <si>
    <t>ANISHAA V</t>
  </si>
  <si>
    <t>911723104013</t>
  </si>
  <si>
    <t>ANUSHA S</t>
  </si>
  <si>
    <t>911723104017</t>
  </si>
  <si>
    <t>BALAJI M</t>
  </si>
  <si>
    <t>911723104019</t>
  </si>
  <si>
    <t>BHARANI DHARAN M</t>
  </si>
  <si>
    <t>911723104024</t>
  </si>
  <si>
    <t>DEEPTHI R</t>
  </si>
  <si>
    <t>911723104026</t>
  </si>
  <si>
    <t>DHARSHINI R</t>
  </si>
  <si>
    <t>911723104029</t>
  </si>
  <si>
    <t>DIVYA PRIYA S</t>
  </si>
  <si>
    <t>911723104031</t>
  </si>
  <si>
    <t>DURGA P</t>
  </si>
  <si>
    <t>911723104035</t>
  </si>
  <si>
    <t>HAARITHA S</t>
  </si>
  <si>
    <t>911723104036</t>
  </si>
  <si>
    <t>HARIHARAN S</t>
  </si>
  <si>
    <t>911723104037</t>
  </si>
  <si>
    <t>HARIPRASANTH P</t>
  </si>
  <si>
    <t>911723104039</t>
  </si>
  <si>
    <t>HASEENA RAHMATH F</t>
  </si>
  <si>
    <t>911723104040</t>
  </si>
  <si>
    <t>INIYAMARUTHU S</t>
  </si>
  <si>
    <t>911723104042</t>
  </si>
  <si>
    <t>JAYANIVEDHITHA O</t>
  </si>
  <si>
    <t>911723104043</t>
  </si>
  <si>
    <t>JAYASURYA S</t>
  </si>
  <si>
    <t>911723104044</t>
  </si>
  <si>
    <t>JOEL JOSHWA K</t>
  </si>
  <si>
    <t>911723104047</t>
  </si>
  <si>
    <t>KALYANI PL</t>
  </si>
  <si>
    <t>911723104048</t>
  </si>
  <si>
    <t>KARPAHA N</t>
  </si>
  <si>
    <t>911723104049</t>
  </si>
  <si>
    <t>KARUPPASAMY PANDIYAN A</t>
  </si>
  <si>
    <t>911723104052</t>
  </si>
  <si>
    <t>KAVEEN S</t>
  </si>
  <si>
    <t>911723104055</t>
  </si>
  <si>
    <t>KISHOREKANTH A</t>
  </si>
  <si>
    <t>911723104058</t>
  </si>
  <si>
    <t>MADHU SHREYA M</t>
  </si>
  <si>
    <t>911723104059</t>
  </si>
  <si>
    <t>MANIKANDAN M</t>
  </si>
  <si>
    <t>911723104060</t>
  </si>
  <si>
    <t>MANIKANDAN P</t>
  </si>
  <si>
    <t>911723104061</t>
  </si>
  <si>
    <t>911723104063</t>
  </si>
  <si>
    <t>MITHRA B</t>
  </si>
  <si>
    <t>911723104064</t>
  </si>
  <si>
    <t>MOHAMED ASHIK A</t>
  </si>
  <si>
    <t>911723104065</t>
  </si>
  <si>
    <t>MOHAMED SAMEER N</t>
  </si>
  <si>
    <t>911723104068</t>
  </si>
  <si>
    <t>MUTHULAKSHMI K</t>
  </si>
  <si>
    <t>911723104070</t>
  </si>
  <si>
    <t>MUTHUMANI M</t>
  </si>
  <si>
    <t>911723104072</t>
  </si>
  <si>
    <t>NAVEEN KUMAR A</t>
  </si>
  <si>
    <t>911723104075</t>
  </si>
  <si>
    <t>NAVIN KUMAR K</t>
  </si>
  <si>
    <t>911723104077</t>
  </si>
  <si>
    <t>PONSANTHOSHI M</t>
  </si>
  <si>
    <t>911723104079</t>
  </si>
  <si>
    <t>PRINCE JOHNSON P</t>
  </si>
  <si>
    <t>911723104081</t>
  </si>
  <si>
    <t>RAHUL P</t>
  </si>
  <si>
    <t>911723104082</t>
  </si>
  <si>
    <t>RAJALAKSHMI P</t>
  </si>
  <si>
    <t>911723104086</t>
  </si>
  <si>
    <t>RANJITH KUMAR M</t>
  </si>
  <si>
    <t>911723104087</t>
  </si>
  <si>
    <t>RAVISHANKAR GA</t>
  </si>
  <si>
    <t>911723104090</t>
  </si>
  <si>
    <t>SANJAI K</t>
  </si>
  <si>
    <t>911723104094</t>
  </si>
  <si>
    <t>SARATHI C</t>
  </si>
  <si>
    <t>911723104095</t>
  </si>
  <si>
    <t>SARAVANAN D</t>
  </si>
  <si>
    <t>,</t>
  </si>
  <si>
    <t>911723104097</t>
  </si>
  <si>
    <t>SATHAIAH G</t>
  </si>
  <si>
    <t>911723104098</t>
  </si>
  <si>
    <t>SATHAIYA A</t>
  </si>
  <si>
    <t>911723104101</t>
  </si>
  <si>
    <t>SETHUNAATHAN C</t>
  </si>
  <si>
    <t>911723104104</t>
  </si>
  <si>
    <t>SHARMILA BANU M</t>
  </si>
  <si>
    <t>911723104105</t>
  </si>
  <si>
    <t>SHENBAKUMARAN G</t>
  </si>
  <si>
    <t>911723104108</t>
  </si>
  <si>
    <t>SIVABALAN I</t>
  </si>
  <si>
    <t>911723104110</t>
  </si>
  <si>
    <t>SRINITHI M</t>
  </si>
  <si>
    <t>911723104111</t>
  </si>
  <si>
    <t>SUDARSHNA CHAND M.S</t>
  </si>
  <si>
    <t>911723104113</t>
  </si>
  <si>
    <t>SUPRIYA B</t>
  </si>
  <si>
    <t>911723104114</t>
  </si>
  <si>
    <t>SURIYA PRABHA M</t>
  </si>
  <si>
    <t>911723104115</t>
  </si>
  <si>
    <t>SURYA M</t>
  </si>
  <si>
    <t>911723104116</t>
  </si>
  <si>
    <t>SWATHI K</t>
  </si>
  <si>
    <t>911723104120</t>
  </si>
  <si>
    <t>VALENTINA A</t>
  </si>
  <si>
    <t>RAJARAM R</t>
  </si>
  <si>
    <t>SACHIN G A</t>
  </si>
  <si>
    <t>MUTHU AJAY K J</t>
  </si>
  <si>
    <t>DELWIN D</t>
  </si>
  <si>
    <t>26-29</t>
  </si>
  <si>
    <t xml:space="preserve">  </t>
  </si>
  <si>
    <t>911723104003</t>
  </si>
  <si>
    <t>AFRIN BANU A</t>
  </si>
  <si>
    <t>911723104005</t>
  </si>
  <si>
    <t>AJMAL S</t>
  </si>
  <si>
    <t>911723104008</t>
  </si>
  <si>
    <t>ALAGU SIVARAMAN N.C</t>
  </si>
  <si>
    <t>911723104014</t>
  </si>
  <si>
    <t>ANUSHYABHARATHI S</t>
  </si>
  <si>
    <t>911723104016</t>
  </si>
  <si>
    <t>BALADHANUSH K</t>
  </si>
  <si>
    <t>911723104018</t>
  </si>
  <si>
    <t>BALAMURUGAN S</t>
  </si>
  <si>
    <t>911723104020</t>
  </si>
  <si>
    <t>CHANDRU S</t>
  </si>
  <si>
    <t>911723104021</t>
  </si>
  <si>
    <t>CHELLAMUTHU S</t>
  </si>
  <si>
    <t>911723104022</t>
  </si>
  <si>
    <t>DEEPAKANNAN S</t>
  </si>
  <si>
    <t>911723104023</t>
  </si>
  <si>
    <t>DEEPAK KUMAR T</t>
  </si>
  <si>
    <t>911723104025</t>
  </si>
  <si>
    <t>DHARANI AL</t>
  </si>
  <si>
    <t>911723104027</t>
  </si>
  <si>
    <t>DHARSHIYA A</t>
  </si>
  <si>
    <t>911723104028</t>
  </si>
  <si>
    <t>DIVYADHARSHINI S</t>
  </si>
  <si>
    <t>911723104030</t>
  </si>
  <si>
    <t>DIVYA SHREE R</t>
  </si>
  <si>
    <t>911723104032</t>
  </si>
  <si>
    <t>GOPALAKRISHNAN B</t>
  </si>
  <si>
    <t>911723104033</t>
  </si>
  <si>
    <t>GOWSIK M</t>
  </si>
  <si>
    <t>911723104034</t>
  </si>
  <si>
    <t>GUNAVADHI T</t>
  </si>
  <si>
    <t>911723104038</t>
  </si>
  <si>
    <t>HARIPRIYA P</t>
  </si>
  <si>
    <t>911723104041</t>
  </si>
  <si>
    <t>JAMUNARANI S</t>
  </si>
  <si>
    <t>911723104045</t>
  </si>
  <si>
    <t>JOSHUA DANIEL S</t>
  </si>
  <si>
    <t>911723104046</t>
  </si>
  <si>
    <t>KAJOL HARISHA . P</t>
  </si>
  <si>
    <t>911723104050</t>
  </si>
  <si>
    <t>KASIGOPINATH G</t>
  </si>
  <si>
    <t>911723104051</t>
  </si>
  <si>
    <t>KAUSHIKA S</t>
  </si>
  <si>
    <t>911723104053</t>
  </si>
  <si>
    <t>KAVIYA SELVI PR</t>
  </si>
  <si>
    <t>911723104054</t>
  </si>
  <si>
    <t>KIRISHAN S</t>
  </si>
  <si>
    <t>911723104056</t>
  </si>
  <si>
    <t>KISHORE KUMAR G</t>
  </si>
  <si>
    <t>911723104057</t>
  </si>
  <si>
    <t>KRITHIKA C</t>
  </si>
  <si>
    <t>911723104062</t>
  </si>
  <si>
    <t>MANIKANDAPRABU G.A</t>
  </si>
  <si>
    <t>911723104066</t>
  </si>
  <si>
    <t>MOHAMMED HAROON A</t>
  </si>
  <si>
    <t>911723104067</t>
  </si>
  <si>
    <t>MOHAN G</t>
  </si>
  <si>
    <t>911723104069</t>
  </si>
  <si>
    <t>MUTHULAKSHMI M</t>
  </si>
  <si>
    <t>911723104071</t>
  </si>
  <si>
    <t>NAVEEN CARLIN A</t>
  </si>
  <si>
    <t>911723104073</t>
  </si>
  <si>
    <t>NAVEEN RAJAN G</t>
  </si>
  <si>
    <t>911723104074</t>
  </si>
  <si>
    <t>NAVIN K</t>
  </si>
  <si>
    <t>911723104076</t>
  </si>
  <si>
    <t>NOORUL SHIYAM A</t>
  </si>
  <si>
    <t>911723104078</t>
  </si>
  <si>
    <t>PRASANTH DHARSAN J</t>
  </si>
  <si>
    <t>911723104080</t>
  </si>
  <si>
    <t>PRIYADHARSHINI P</t>
  </si>
  <si>
    <t>911723104085</t>
  </si>
  <si>
    <t>RAMU SOUNDARYA R</t>
  </si>
  <si>
    <t>911723104083</t>
  </si>
  <si>
    <t>RAJA SHAMEER R B</t>
  </si>
  <si>
    <t>911723104084</t>
  </si>
  <si>
    <t>RAJENDRAKUMAR M</t>
  </si>
  <si>
    <t>911723104088</t>
  </si>
  <si>
    <t>RITHIKA M</t>
  </si>
  <si>
    <t>911723104089</t>
  </si>
  <si>
    <t>ROSHAN A</t>
  </si>
  <si>
    <t>911723104091</t>
  </si>
  <si>
    <t>SANJAIKUMAR R</t>
  </si>
  <si>
    <t>911723104092</t>
  </si>
  <si>
    <t>SANTHOSH P</t>
  </si>
  <si>
    <t>911723104093</t>
  </si>
  <si>
    <t>SARANYA S</t>
  </si>
  <si>
    <t>911723104096</t>
  </si>
  <si>
    <t>SASIPRABA K</t>
  </si>
  <si>
    <t>911723104099</t>
  </si>
  <si>
    <t>SATHYADEVI M</t>
  </si>
  <si>
    <t>911723104100</t>
  </si>
  <si>
    <t>SENBAGARAJ R</t>
  </si>
  <si>
    <t>911723104102</t>
  </si>
  <si>
    <t>SHAHANA M</t>
  </si>
  <si>
    <t>911723104103</t>
  </si>
  <si>
    <t>SHAMINI C</t>
  </si>
  <si>
    <t>911723104107</t>
  </si>
  <si>
    <t>SIVABALAN C</t>
  </si>
  <si>
    <t>911723104109</t>
  </si>
  <si>
    <t>SOBANADEVI U</t>
  </si>
  <si>
    <t>911723104112</t>
  </si>
  <si>
    <t>SUNDARESWARAN S</t>
  </si>
  <si>
    <t>911723104117</t>
  </si>
  <si>
    <t>SWETHA S</t>
  </si>
  <si>
    <t>911723104118</t>
  </si>
  <si>
    <t>THIRISHIKA K</t>
  </si>
  <si>
    <t>911723104122</t>
  </si>
  <si>
    <t>VEERARAGAVI V</t>
  </si>
  <si>
    <t>911723104123</t>
  </si>
  <si>
    <t>VENKATESHWARAN M</t>
  </si>
  <si>
    <t>911723104124</t>
  </si>
  <si>
    <t>VIGNESH J</t>
  </si>
  <si>
    <t>911723104125</t>
  </si>
  <si>
    <t>VIGNESHWARAN S</t>
  </si>
  <si>
    <t>911723104126</t>
  </si>
  <si>
    <t>YASEENAFFAN A</t>
  </si>
  <si>
    <t>HVE</t>
  </si>
  <si>
    <t>ITAS</t>
  </si>
  <si>
    <t>AED</t>
  </si>
  <si>
    <t>POM</t>
  </si>
  <si>
    <t>ADT</t>
  </si>
  <si>
    <t>ALAGU SELVA GANAPATHI K</t>
  </si>
  <si>
    <t>ANANTH S</t>
  </si>
  <si>
    <t>ASHWANI IMMACULATE A</t>
  </si>
  <si>
    <t>ASWATHI S</t>
  </si>
  <si>
    <t>ASWIN PRASANTH R</t>
  </si>
  <si>
    <t>AYYAPPAN R</t>
  </si>
  <si>
    <t>BAARGAVI R</t>
  </si>
  <si>
    <t>BOOMIKA N</t>
  </si>
  <si>
    <t>CHARUMATHI R</t>
  </si>
  <si>
    <t>CHRISTOKINGSLY I</t>
  </si>
  <si>
    <t>DEEPA V</t>
  </si>
  <si>
    <t>DEVADHARSHAN S</t>
  </si>
  <si>
    <t>DHARSHINI K</t>
  </si>
  <si>
    <t>DHAYALAN M</t>
  </si>
  <si>
    <t>DIVYAHARINI S</t>
  </si>
  <si>
    <t>EDWIN RICHARD A</t>
  </si>
  <si>
    <t>ELAKKIYA S</t>
  </si>
  <si>
    <t>ENOSH BLESSING S</t>
  </si>
  <si>
    <t>FAZIL AHAMED R</t>
  </si>
  <si>
    <t>GAYATHRI B</t>
  </si>
  <si>
    <t>HARIHARAN M</t>
  </si>
  <si>
    <t>HARINI E</t>
  </si>
  <si>
    <t>JAGATHA D</t>
  </si>
  <si>
    <t>JEGATHEESWARI M</t>
  </si>
  <si>
    <t>KANAKALAKSHMI M</t>
  </si>
  <si>
    <t>KANNIKA M</t>
  </si>
  <si>
    <t>KARTHICK G</t>
  </si>
  <si>
    <t>KAVIYADHARSHINI P</t>
  </si>
  <si>
    <t>KAVIYA PRIYA G</t>
  </si>
  <si>
    <t>KIRUTHIKA DEVI R</t>
  </si>
  <si>
    <t>LAKSHAYA K</t>
  </si>
  <si>
    <t>MITHRA S</t>
  </si>
  <si>
    <t>MOHAMED RAYAN J</t>
  </si>
  <si>
    <t>MOHANAPRIYA P</t>
  </si>
  <si>
    <t>MONIKA D</t>
  </si>
  <si>
    <t>NAVEEN C</t>
  </si>
  <si>
    <t>NAVIN RAJ M</t>
  </si>
  <si>
    <t>NEELESHWARAN S</t>
  </si>
  <si>
    <t>NIJIRA S</t>
  </si>
  <si>
    <t>NISSITHA A</t>
  </si>
  <si>
    <t>NOOR MOHAMED K</t>
  </si>
  <si>
    <t>PAULSON J</t>
  </si>
  <si>
    <t>PRAVEEN G</t>
  </si>
  <si>
    <t>RAGAVI M</t>
  </si>
  <si>
    <t>RISWANA BARVIN J</t>
  </si>
  <si>
    <t>ROSINI K</t>
  </si>
  <si>
    <t>SABITHA P</t>
  </si>
  <si>
    <t>SAHANA S</t>
  </si>
  <si>
    <t>SANTHOSH PANDI D</t>
  </si>
  <si>
    <t>SASTHAANATH S</t>
  </si>
  <si>
    <t>SATHEESH G</t>
  </si>
  <si>
    <t>SHIRANJAN C</t>
  </si>
  <si>
    <t>SNEHA M</t>
  </si>
  <si>
    <t>SOUNDHARYA SRI B</t>
  </si>
  <si>
    <t>STEFEENA EVANGELIN E</t>
  </si>
  <si>
    <t>SUGANYA M</t>
  </si>
  <si>
    <t>VAISHNAVI RM</t>
  </si>
  <si>
    <t>VALARMATHI R</t>
  </si>
  <si>
    <t>VIJAY SABARI T</t>
  </si>
  <si>
    <t>911722104001</t>
  </si>
  <si>
    <t>AAKASH C</t>
  </si>
  <si>
    <t>911722104002</t>
  </si>
  <si>
    <t>AARTHI C</t>
  </si>
  <si>
    <t>911722104003</t>
  </si>
  <si>
    <t>911722104004</t>
  </si>
  <si>
    <t>AKSHAYA M</t>
  </si>
  <si>
    <t>911722104005</t>
  </si>
  <si>
    <t>AKSHAYA P</t>
  </si>
  <si>
    <t>911722104008</t>
  </si>
  <si>
    <t>AROKIYA DAVID A</t>
  </si>
  <si>
    <t>911722104009</t>
  </si>
  <si>
    <t>ARUNAGIRI S</t>
  </si>
  <si>
    <t>911722104010</t>
  </si>
  <si>
    <t>ASHOKBHARATHI GT</t>
  </si>
  <si>
    <t>911722104014</t>
  </si>
  <si>
    <t>AYISHAH TASLIM K</t>
  </si>
  <si>
    <t>911722104017</t>
  </si>
  <si>
    <t>BALAJI SRIKUMAR G</t>
  </si>
  <si>
    <t>911722104018</t>
  </si>
  <si>
    <t>BHUVANESWARI C</t>
  </si>
  <si>
    <t>911722104020</t>
  </si>
  <si>
    <t>CHARULATHA M</t>
  </si>
  <si>
    <t>911722104028</t>
  </si>
  <si>
    <t>DHUVASHINI S</t>
  </si>
  <si>
    <t>911722104033</t>
  </si>
  <si>
    <t>EASWARI E</t>
  </si>
  <si>
    <t>911722104035</t>
  </si>
  <si>
    <t>GANESAN P</t>
  </si>
  <si>
    <t>911722104037</t>
  </si>
  <si>
    <t>GOKULA INIYA A</t>
  </si>
  <si>
    <t>911722104038</t>
  </si>
  <si>
    <t>GOPIKARAN B.T</t>
  </si>
  <si>
    <t>911722104041</t>
  </si>
  <si>
    <t>HARIHARA SUDHAN M</t>
  </si>
  <si>
    <t>911722104043</t>
  </si>
  <si>
    <t>HARINI V</t>
  </si>
  <si>
    <t>911722104044</t>
  </si>
  <si>
    <t>IRFAN A</t>
  </si>
  <si>
    <t>911722104045</t>
  </si>
  <si>
    <t>JAASIR AHAMED A</t>
  </si>
  <si>
    <t>911722104047</t>
  </si>
  <si>
    <t>JASMINE K</t>
  </si>
  <si>
    <t>911722104048</t>
  </si>
  <si>
    <t>JAYAPRADHA S</t>
  </si>
  <si>
    <t>911722104050</t>
  </si>
  <si>
    <t>JEYASEELAN K</t>
  </si>
  <si>
    <t>911722104051</t>
  </si>
  <si>
    <t>KALANDHAR ASLAM M</t>
  </si>
  <si>
    <t>911722104055</t>
  </si>
  <si>
    <t>KARTHIKA A.C.</t>
  </si>
  <si>
    <t>911722104056</t>
  </si>
  <si>
    <t>KASIVISHWANATHAN PL.</t>
  </si>
  <si>
    <t>911722104057</t>
  </si>
  <si>
    <t>KAVIBALAN P</t>
  </si>
  <si>
    <t>911722104061</t>
  </si>
  <si>
    <t>KRISHNAKUMAR SP.</t>
  </si>
  <si>
    <t>911722104064</t>
  </si>
  <si>
    <t>LAKSHMANAN PL</t>
  </si>
  <si>
    <t>911722104066</t>
  </si>
  <si>
    <t>MAHALAKSHMI M</t>
  </si>
  <si>
    <t>911722104067</t>
  </si>
  <si>
    <t>MAHALAKSHMI S</t>
  </si>
  <si>
    <t>911722104068</t>
  </si>
  <si>
    <t>MANIMARAN. G</t>
  </si>
  <si>
    <t>911722104069</t>
  </si>
  <si>
    <t>MATHANKUMAR V</t>
  </si>
  <si>
    <t>911722104074</t>
  </si>
  <si>
    <t>MUTHUKUMAR P</t>
  </si>
  <si>
    <t>911722104080</t>
  </si>
  <si>
    <t>NITHYASHRI T</t>
  </si>
  <si>
    <t>911722104081</t>
  </si>
  <si>
    <t>NITHYA SRI M</t>
  </si>
  <si>
    <t>911722104082</t>
  </si>
  <si>
    <t>NITHYASRI A</t>
  </si>
  <si>
    <t>911722104085</t>
  </si>
  <si>
    <t>PEER MOHAMED J</t>
  </si>
  <si>
    <t>911722104087</t>
  </si>
  <si>
    <t>PRAVEEN KUMAR A</t>
  </si>
  <si>
    <t>911722104089</t>
  </si>
  <si>
    <t>PRIYANKA M</t>
  </si>
  <si>
    <t>911722104092</t>
  </si>
  <si>
    <t>RAMU R</t>
  </si>
  <si>
    <t>911722104094</t>
  </si>
  <si>
    <t>ROSHINI N</t>
  </si>
  <si>
    <t>911722104098</t>
  </si>
  <si>
    <t>SANJAY M</t>
  </si>
  <si>
    <t>911722104099</t>
  </si>
  <si>
    <t>SANTHOSH V</t>
  </si>
  <si>
    <t>911722104103</t>
  </si>
  <si>
    <t>SHAHANA AMEER FATHIMA A</t>
  </si>
  <si>
    <t>911722104105</t>
  </si>
  <si>
    <t>SIVAPRAKASH C</t>
  </si>
  <si>
    <t>911722104107</t>
  </si>
  <si>
    <t>SOMRAJ S</t>
  </si>
  <si>
    <t>911722104111</t>
  </si>
  <si>
    <t>SUSMITHA S</t>
  </si>
  <si>
    <t>911722104112</t>
  </si>
  <si>
    <t>SUVETHA S</t>
  </si>
  <si>
    <t>911722104113</t>
  </si>
  <si>
    <t>UMAA MAGESHWARI M</t>
  </si>
  <si>
    <t>911722104114</t>
  </si>
  <si>
    <t>UMA MAHESWARI R</t>
  </si>
  <si>
    <t>911722104117</t>
  </si>
  <si>
    <t>VALLIAMMAI AR</t>
  </si>
  <si>
    <t>911722104118</t>
  </si>
  <si>
    <t>VARSHA SRI P</t>
  </si>
  <si>
    <t>911722104119</t>
  </si>
  <si>
    <t>VIGNESH P</t>
  </si>
  <si>
    <t>911722104302</t>
  </si>
  <si>
    <t>DIVYA P</t>
  </si>
  <si>
    <t>911722104303</t>
  </si>
  <si>
    <t>JOHN MILTON J</t>
  </si>
  <si>
    <t>911722104304</t>
  </si>
  <si>
    <t>KRISHNARAJ M</t>
  </si>
  <si>
    <t>911722104305</t>
  </si>
  <si>
    <t>MADHAN KUMAR S</t>
  </si>
  <si>
    <t>911722104308</t>
  </si>
  <si>
    <t>THENAPPAN AR</t>
  </si>
  <si>
    <t>911722104701</t>
  </si>
  <si>
    <t>THOUFIQ GANI A</t>
  </si>
  <si>
    <t>6+5</t>
  </si>
  <si>
    <t>II - A</t>
  </si>
  <si>
    <t>II - B</t>
  </si>
  <si>
    <t>III - A</t>
  </si>
  <si>
    <t>III - B</t>
  </si>
  <si>
    <t>IV - A</t>
  </si>
  <si>
    <t>IV -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</si>
</sst>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sz val="12.0"/>
      <color theme="1"/>
      <name val="Arial"/>
    </font>
    <font>
      <b/>
      <u/>
      <sz val="12.0"/>
      <color rgb="FF0000FF"/>
      <name val="Cambria"/>
    </font>
    <font>
      <b/>
      <sz val="12.0"/>
      <color theme="1"/>
      <name val="Cambria"/>
    </font>
    <font/>
    <font>
      <sz val="12.0"/>
      <color theme="1"/>
      <name val="Cambria"/>
    </font>
    <font>
      <sz val="12.0"/>
      <color rgb="FF000000"/>
      <name val="Cambria"/>
    </font>
    <font>
      <b/>
      <sz val="11.0"/>
      <color rgb="FF000000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u/>
      <sz val="11.0"/>
      <color rgb="FF0000FF"/>
      <name val="Cambria"/>
    </font>
    <font>
      <b/>
      <sz val="11.0"/>
      <color theme="1"/>
      <name val="Cambria"/>
    </font>
    <font>
      <sz val="11.0"/>
      <color theme="1"/>
      <name val="Cambria"/>
    </font>
    <font>
      <b/>
      <sz val="12.0"/>
      <color theme="1"/>
      <name val="Calibri"/>
    </font>
    <font>
      <sz val="12.0"/>
      <color theme="1"/>
      <name val="Calibri"/>
    </font>
    <font>
      <sz val="11.0"/>
      <color rgb="FF000000"/>
      <name val="Cambria"/>
    </font>
    <font>
      <sz val="12.0"/>
      <color rgb="FF000000"/>
      <name val="Calibri"/>
    </font>
    <font>
      <sz val="11.0"/>
      <color theme="1"/>
      <name val="Calibri"/>
    </font>
    <font>
      <sz val="10.0"/>
      <color theme="1"/>
      <name val="Cambria"/>
    </font>
    <font>
      <sz val="11.0"/>
      <color rgb="FF000000"/>
      <name val="Calibri"/>
    </font>
    <font>
      <sz val="10.0"/>
      <color rgb="FF000000"/>
      <name val="Arial"/>
    </font>
    <font>
      <sz val="13.0"/>
      <color rgb="FF000000"/>
      <name val="Calibri"/>
    </font>
    <font>
      <b/>
      <sz val="9.0"/>
      <color theme="1"/>
      <name val="Calibri"/>
    </font>
    <font>
      <b/>
      <u/>
      <sz val="10.0"/>
      <color rgb="FF0000FF"/>
      <name val="Cambria"/>
    </font>
    <font>
      <b/>
      <sz val="10.0"/>
      <color theme="1"/>
      <name val="Cambria"/>
    </font>
    <font>
      <b/>
      <u/>
      <sz val="10.0"/>
      <color rgb="FF0000FF"/>
      <name val="Cambria"/>
    </font>
    <font>
      <sz val="11.0"/>
      <color rgb="FFFFFFFF"/>
      <name val="Cambria"/>
    </font>
    <font>
      <b/>
      <u/>
      <sz val="10.0"/>
      <color rgb="FF0000FF"/>
      <name val="Cambria"/>
    </font>
    <font>
      <sz val="10.0"/>
      <color rgb="FFFF0000"/>
      <name val="Arial"/>
    </font>
    <font>
      <sz val="12.0"/>
      <color rgb="FF0000FF"/>
      <name val="Cambria"/>
    </font>
    <font>
      <sz val="12.0"/>
      <color rgb="FFFF0000"/>
      <name val="Cambria"/>
    </font>
    <font>
      <b/>
      <sz val="12.0"/>
      <color rgb="FF0000FF"/>
      <name val="Cambria"/>
    </font>
    <font>
      <b/>
      <sz val="12.0"/>
      <color rgb="FFFF0000"/>
      <name val="Cambria"/>
    </font>
    <font>
      <b/>
      <sz val="10.0"/>
      <color rgb="FF000000"/>
      <name val="Cambria"/>
    </font>
    <font>
      <sz val="10.0"/>
      <color rgb="FFFF0000"/>
      <name val="Cambria"/>
    </font>
    <font>
      <sz val="10.0"/>
      <color rgb="FF0000FF"/>
      <name val="Cambria"/>
    </font>
    <font>
      <sz val="10.0"/>
      <color rgb="FF000000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5">
    <border/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left style="thin">
        <color rgb="FFD3D3D3"/>
      </left>
      <bottom style="thin">
        <color rgb="FFD3D3D3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2" xfId="0" applyFont="1" applyNumberFormat="1"/>
    <xf borderId="1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3" numFmtId="12" xfId="0" applyAlignment="1" applyBorder="1" applyFont="1" applyNumberFormat="1">
      <alignment horizontal="center"/>
    </xf>
    <xf borderId="3" fillId="2" fontId="3" numFmtId="0" xfId="0" applyAlignment="1" applyBorder="1" applyFill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3" fontId="3" numFmtId="0" xfId="0" applyAlignment="1" applyBorder="1" applyFill="1" applyFont="1">
      <alignment horizontal="center"/>
    </xf>
    <xf borderId="10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11" fillId="0" fontId="4" numFmtId="0" xfId="0" applyBorder="1" applyFont="1"/>
    <xf borderId="12" fillId="0" fontId="4" numFmtId="0" xfId="0" applyBorder="1" applyFont="1"/>
    <xf borderId="13" fillId="3" fontId="3" numFmtId="0" xfId="0" applyAlignment="1" applyBorder="1" applyFont="1">
      <alignment horizontal="center"/>
    </xf>
    <xf borderId="14" fillId="3" fontId="3" numFmtId="0" xfId="0" applyAlignment="1" applyBorder="1" applyFont="1">
      <alignment horizontal="center"/>
    </xf>
    <xf borderId="15" fillId="0" fontId="5" numFmtId="0" xfId="0" applyAlignment="1" applyBorder="1" applyFont="1">
      <alignment horizontal="center" shrinkToFit="0" wrapText="1"/>
    </xf>
    <xf borderId="16" fillId="0" fontId="5" numFmtId="0" xfId="0" applyAlignment="1" applyBorder="1" applyFont="1">
      <alignment horizontal="center" shrinkToFit="0" wrapText="1"/>
    </xf>
    <xf borderId="17" fillId="0" fontId="6" numFmtId="12" xfId="0" applyAlignment="1" applyBorder="1" applyFont="1" applyNumberFormat="1">
      <alignment horizontal="center"/>
    </xf>
    <xf borderId="16" fillId="0" fontId="5" numFmtId="0" xfId="0" applyAlignment="1" applyBorder="1" applyFont="1">
      <alignment shrinkToFit="0" wrapText="1"/>
    </xf>
    <xf borderId="9" fillId="3" fontId="5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 vertical="top"/>
    </xf>
    <xf borderId="6" fillId="3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 shrinkToFit="0" wrapText="1"/>
    </xf>
    <xf borderId="20" fillId="3" fontId="5" numFmtId="0" xfId="0" applyAlignment="1" applyBorder="1" applyFont="1">
      <alignment horizontal="center"/>
    </xf>
    <xf borderId="18" fillId="3" fontId="5" numFmtId="0" xfId="0" applyAlignment="1" applyBorder="1" applyFont="1">
      <alignment horizontal="center"/>
    </xf>
    <xf borderId="16" fillId="0" fontId="5" numFmtId="12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21" fillId="0" fontId="6" numFmtId="12" xfId="0" applyAlignment="1" applyBorder="1" applyFont="1" applyNumberFormat="1">
      <alignment horizontal="center"/>
    </xf>
    <xf borderId="2" fillId="0" fontId="5" numFmtId="0" xfId="0" applyAlignment="1" applyBorder="1" applyFont="1">
      <alignment shrinkToFit="0" wrapText="1"/>
    </xf>
    <xf borderId="22" fillId="0" fontId="5" numFmtId="0" xfId="0" applyAlignment="1" applyBorder="1" applyFont="1">
      <alignment horizontal="center" shrinkToFit="0" wrapText="1"/>
    </xf>
    <xf borderId="23" fillId="0" fontId="5" numFmtId="0" xfId="0" applyAlignment="1" applyBorder="1" applyFont="1">
      <alignment horizontal="center" shrinkToFit="0" wrapText="1"/>
    </xf>
    <xf borderId="24" fillId="0" fontId="6" numFmtId="12" xfId="0" applyAlignment="1" applyBorder="1" applyFont="1" applyNumberFormat="1">
      <alignment horizontal="center"/>
    </xf>
    <xf borderId="25" fillId="0" fontId="5" numFmtId="0" xfId="0" applyAlignment="1" applyBorder="1" applyFont="1">
      <alignment shrinkToFit="0" wrapText="1"/>
    </xf>
    <xf borderId="26" fillId="3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 shrinkToFit="0" wrapText="1"/>
    </xf>
    <xf borderId="18" fillId="0" fontId="5" numFmtId="0" xfId="0" applyAlignment="1" applyBorder="1" applyFont="1">
      <alignment horizontal="center" shrinkToFit="0" wrapText="1"/>
    </xf>
    <xf borderId="18" fillId="0" fontId="6" numFmtId="12" xfId="0" applyAlignment="1" applyBorder="1" applyFont="1" applyNumberFormat="1">
      <alignment horizontal="center"/>
    </xf>
    <xf borderId="28" fillId="0" fontId="5" numFmtId="0" xfId="0" applyAlignment="1" applyBorder="1" applyFont="1">
      <alignment shrinkToFit="0" wrapText="1"/>
    </xf>
    <xf borderId="29" fillId="0" fontId="5" numFmtId="0" xfId="0" applyAlignment="1" applyBorder="1" applyFont="1">
      <alignment horizontal="center" shrinkToFit="0" wrapText="1"/>
    </xf>
    <xf borderId="30" fillId="0" fontId="5" numFmtId="0" xfId="0" applyBorder="1" applyFont="1"/>
    <xf borderId="30" fillId="0" fontId="5" numFmtId="12" xfId="0" applyBorder="1" applyFont="1" applyNumberFormat="1"/>
    <xf borderId="31" fillId="0" fontId="5" numFmtId="0" xfId="0" applyBorder="1" applyFont="1"/>
    <xf borderId="32" fillId="0" fontId="3" numFmtId="0" xfId="0" applyAlignment="1" applyBorder="1" applyFont="1">
      <alignment horizontal="right"/>
    </xf>
    <xf borderId="33" fillId="0" fontId="4" numFmtId="0" xfId="0" applyBorder="1" applyFont="1"/>
    <xf borderId="34" fillId="0" fontId="4" numFmtId="0" xfId="0" applyBorder="1" applyFont="1"/>
    <xf borderId="34" fillId="0" fontId="5" numFmtId="0" xfId="0" applyAlignment="1" applyBorder="1" applyFont="1">
      <alignment horizontal="center"/>
    </xf>
    <xf borderId="35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36" fillId="0" fontId="3" numFmtId="0" xfId="0" applyAlignment="1" applyBorder="1" applyFont="1">
      <alignment horizontal="right"/>
    </xf>
    <xf borderId="37" fillId="0" fontId="4" numFmtId="0" xfId="0" applyBorder="1" applyFont="1"/>
    <xf borderId="17" fillId="0" fontId="4" numFmtId="0" xfId="0" applyBorder="1" applyFont="1"/>
    <xf borderId="17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17" fillId="0" fontId="5" numFmtId="4" xfId="0" applyAlignment="1" applyBorder="1" applyFont="1" applyNumberFormat="1">
      <alignment horizontal="center"/>
    </xf>
    <xf borderId="20" fillId="0" fontId="5" numFmtId="4" xfId="0" applyAlignment="1" applyBorder="1" applyFont="1" applyNumberFormat="1">
      <alignment horizontal="center"/>
    </xf>
    <xf borderId="0" fillId="0" fontId="5" numFmtId="4" xfId="0" applyAlignment="1" applyFont="1" applyNumberFormat="1">
      <alignment horizontal="center"/>
    </xf>
    <xf borderId="36" fillId="0" fontId="8" numFmtId="0" xfId="0" applyAlignment="1" applyBorder="1" applyFont="1">
      <alignment horizontal="right"/>
    </xf>
    <xf borderId="18" fillId="0" fontId="5" numFmtId="0" xfId="0" applyAlignment="1" applyBorder="1" applyFont="1">
      <alignment horizontal="center"/>
    </xf>
    <xf borderId="36" fillId="0" fontId="8" numFmtId="49" xfId="0" applyAlignment="1" applyBorder="1" applyFont="1" applyNumberFormat="1">
      <alignment horizontal="right"/>
    </xf>
    <xf borderId="33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9" numFmtId="0" xfId="0" applyFont="1"/>
    <xf borderId="0" fillId="0" fontId="9" numFmtId="12" xfId="0" applyFont="1" applyNumberForma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6" fillId="3" fontId="10" numFmtId="0" xfId="0" applyBorder="1" applyFont="1"/>
    <xf borderId="38" fillId="0" fontId="11" numFmtId="0" xfId="0" applyAlignment="1" applyBorder="1" applyFont="1">
      <alignment horizontal="center"/>
    </xf>
    <xf borderId="38" fillId="0" fontId="12" numFmtId="0" xfId="0" applyAlignment="1" applyBorder="1" applyFont="1">
      <alignment horizontal="center"/>
    </xf>
    <xf borderId="38" fillId="0" fontId="12" numFmtId="12" xfId="0" applyAlignment="1" applyBorder="1" applyFont="1" applyNumberFormat="1">
      <alignment horizontal="center"/>
    </xf>
    <xf borderId="3" fillId="2" fontId="12" numFmtId="0" xfId="0" applyAlignment="1" applyBorder="1" applyFont="1">
      <alignment horizontal="center"/>
    </xf>
    <xf borderId="18" fillId="0" fontId="13" numFmtId="0" xfId="0" applyBorder="1" applyFont="1"/>
    <xf borderId="6" fillId="3" fontId="14" numFmtId="0" xfId="0" applyAlignment="1" applyBorder="1" applyFont="1">
      <alignment horizontal="center"/>
    </xf>
    <xf borderId="39" fillId="3" fontId="14" numFmtId="0" xfId="0" applyAlignment="1" applyBorder="1" applyFont="1">
      <alignment horizontal="center"/>
    </xf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9" fillId="3" fontId="12" numFmtId="0" xfId="0" applyAlignment="1" applyBorder="1" applyFont="1">
      <alignment horizontal="center"/>
    </xf>
    <xf borderId="10" fillId="3" fontId="12" numFmtId="0" xfId="0" applyAlignment="1" applyBorder="1" applyFont="1">
      <alignment horizontal="center"/>
    </xf>
    <xf borderId="6" fillId="3" fontId="15" numFmtId="0" xfId="0" applyAlignment="1" applyBorder="1" applyFont="1">
      <alignment horizontal="center"/>
    </xf>
    <xf borderId="6" fillId="3" fontId="8" numFmtId="0" xfId="0" applyAlignment="1" applyBorder="1" applyFont="1">
      <alignment horizontal="center"/>
    </xf>
    <xf borderId="6" fillId="3" fontId="8" numFmtId="0" xfId="0" applyBorder="1" applyFont="1"/>
    <xf borderId="43" fillId="0" fontId="4" numFmtId="0" xfId="0" applyBorder="1" applyFont="1"/>
    <xf borderId="13" fillId="3" fontId="12" numFmtId="0" xfId="0" applyAlignment="1" applyBorder="1" applyFont="1">
      <alignment horizontal="center"/>
    </xf>
    <xf borderId="14" fillId="3" fontId="12" numFmtId="0" xfId="0" applyAlignment="1" applyBorder="1" applyFont="1">
      <alignment horizontal="center"/>
    </xf>
    <xf borderId="18" fillId="0" fontId="13" numFmtId="0" xfId="0" applyAlignment="1" applyBorder="1" applyFont="1">
      <alignment horizontal="center" shrinkToFit="0" wrapText="1"/>
    </xf>
    <xf borderId="17" fillId="0" fontId="16" numFmtId="12" xfId="0" applyAlignment="1" applyBorder="1" applyFont="1" applyNumberFormat="1">
      <alignment horizontal="center"/>
    </xf>
    <xf borderId="18" fillId="0" fontId="13" numFmtId="0" xfId="0" applyAlignment="1" applyBorder="1" applyFont="1">
      <alignment shrinkToFit="0" wrapText="1"/>
    </xf>
    <xf borderId="18" fillId="0" fontId="13" numFmtId="0" xfId="0" applyAlignment="1" applyBorder="1" applyFont="1">
      <alignment horizontal="center"/>
    </xf>
    <xf borderId="18" fillId="0" fontId="17" numFmtId="0" xfId="0" applyAlignment="1" applyBorder="1" applyFont="1">
      <alignment horizontal="center" vertical="top"/>
    </xf>
    <xf borderId="6" fillId="3" fontId="18" numFmtId="0" xfId="0" applyAlignment="1" applyBorder="1" applyFont="1">
      <alignment horizontal="right"/>
    </xf>
    <xf borderId="6" fillId="3" fontId="18" numFmtId="0" xfId="0" applyAlignment="1" applyBorder="1" applyFont="1">
      <alignment horizontal="center"/>
    </xf>
    <xf borderId="18" fillId="0" fontId="19" numFmtId="0" xfId="0" applyAlignment="1" applyBorder="1" applyFont="1">
      <alignment horizontal="center"/>
    </xf>
    <xf borderId="6" fillId="3" fontId="18" numFmtId="0" xfId="0" applyBorder="1" applyFont="1"/>
    <xf borderId="34" fillId="0" fontId="16" numFmtId="12" xfId="0" applyAlignment="1" applyBorder="1" applyFont="1" applyNumberFormat="1">
      <alignment horizontal="center"/>
    </xf>
    <xf borderId="44" fillId="0" fontId="20" numFmtId="0" xfId="0" applyAlignment="1" applyBorder="1" applyFont="1">
      <alignment horizontal="center" vertical="top"/>
    </xf>
    <xf borderId="0" fillId="0" fontId="21" numFmtId="12" xfId="0" applyFont="1" applyNumberFormat="1"/>
    <xf borderId="45" fillId="0" fontId="17" numFmtId="0" xfId="0" applyAlignment="1" applyBorder="1" applyFont="1">
      <alignment horizontal="left" vertical="top"/>
    </xf>
    <xf borderId="44" fillId="0" fontId="22" numFmtId="0" xfId="0" applyAlignment="1" applyBorder="1" applyFont="1">
      <alignment horizontal="center" vertical="top"/>
    </xf>
    <xf borderId="46" fillId="0" fontId="17" numFmtId="0" xfId="0" applyAlignment="1" applyBorder="1" applyFont="1">
      <alignment horizontal="left" vertical="top"/>
    </xf>
    <xf borderId="20" fillId="0" fontId="13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right"/>
    </xf>
    <xf borderId="0" fillId="0" fontId="8" numFmtId="0" xfId="0" applyAlignment="1" applyFont="1">
      <alignment horizontal="center"/>
    </xf>
    <xf borderId="20" fillId="0" fontId="13" numFmtId="4" xfId="0" applyAlignment="1" applyBorder="1" applyFont="1" applyNumberFormat="1">
      <alignment horizontal="center"/>
    </xf>
    <xf borderId="47" fillId="2" fontId="14" numFmtId="0" xfId="0" applyAlignment="1" applyBorder="1" applyFont="1">
      <alignment horizontal="center"/>
    </xf>
    <xf borderId="48" fillId="0" fontId="4" numFmtId="0" xfId="0" applyBorder="1" applyFont="1"/>
    <xf borderId="49" fillId="0" fontId="4" numFmtId="0" xfId="0" applyBorder="1" applyFont="1"/>
    <xf borderId="9" fillId="3" fontId="14" numFmtId="0" xfId="0" applyAlignment="1" applyBorder="1" applyFont="1">
      <alignment horizontal="center"/>
    </xf>
    <xf borderId="10" fillId="3" fontId="14" numFmtId="0" xfId="0" applyAlignment="1" applyBorder="1" applyFont="1">
      <alignment horizontal="center"/>
    </xf>
    <xf borderId="50" fillId="3" fontId="14" numFmtId="0" xfId="0" applyAlignment="1" applyBorder="1" applyFont="1">
      <alignment horizontal="center"/>
    </xf>
    <xf borderId="51" fillId="3" fontId="14" numFmtId="0" xfId="0" applyAlignment="1" applyBorder="1" applyFont="1">
      <alignment horizontal="center"/>
    </xf>
    <xf borderId="52" fillId="3" fontId="14" numFmtId="0" xfId="0" applyAlignment="1" applyBorder="1" applyFont="1">
      <alignment horizontal="center"/>
    </xf>
    <xf borderId="53" fillId="3" fontId="14" numFmtId="0" xfId="0" applyAlignment="1" applyBorder="1" applyFont="1">
      <alignment horizontal="center"/>
    </xf>
    <xf borderId="54" fillId="3" fontId="8" numFmtId="0" xfId="0" applyAlignment="1" applyBorder="1" applyFont="1">
      <alignment horizontal="center"/>
    </xf>
    <xf borderId="55" fillId="3" fontId="8" numFmtId="0" xfId="0" applyAlignment="1" applyBorder="1" applyFont="1">
      <alignment horizontal="center"/>
    </xf>
    <xf borderId="55" fillId="3" fontId="18" numFmtId="0" xfId="0" applyAlignment="1" applyBorder="1" applyFont="1">
      <alignment horizontal="center"/>
    </xf>
    <xf borderId="56" fillId="3" fontId="18" numFmtId="0" xfId="0" applyAlignment="1" applyBorder="1" applyFont="1">
      <alignment horizontal="center"/>
    </xf>
    <xf borderId="26" fillId="3" fontId="8" numFmtId="0" xfId="0" applyAlignment="1" applyBorder="1" applyFont="1">
      <alignment horizontal="center"/>
    </xf>
    <xf borderId="18" fillId="3" fontId="8" numFmtId="0" xfId="0" applyAlignment="1" applyBorder="1" applyFont="1">
      <alignment horizontal="center"/>
    </xf>
    <xf borderId="18" fillId="3" fontId="18" numFmtId="0" xfId="0" applyAlignment="1" applyBorder="1" applyFont="1">
      <alignment horizontal="center"/>
    </xf>
    <xf borderId="57" fillId="3" fontId="18" numFmtId="0" xfId="0" applyAlignment="1" applyBorder="1" applyFont="1">
      <alignment horizontal="center"/>
    </xf>
    <xf borderId="58" fillId="3" fontId="8" numFmtId="0" xfId="0" applyAlignment="1" applyBorder="1" applyFont="1">
      <alignment horizontal="center"/>
    </xf>
    <xf borderId="52" fillId="3" fontId="8" numFmtId="0" xfId="0" applyAlignment="1" applyBorder="1" applyFont="1">
      <alignment horizontal="center"/>
    </xf>
    <xf borderId="52" fillId="3" fontId="18" numFmtId="0" xfId="0" applyAlignment="1" applyBorder="1" applyFont="1">
      <alignment horizontal="center"/>
    </xf>
    <xf borderId="53" fillId="3" fontId="18" numFmtId="0" xfId="0" applyAlignment="1" applyBorder="1" applyFont="1">
      <alignment horizontal="center"/>
    </xf>
    <xf borderId="35" fillId="0" fontId="8" numFmtId="0" xfId="0" applyAlignment="1" applyBorder="1" applyFont="1">
      <alignment horizontal="center"/>
    </xf>
    <xf borderId="35" fillId="0" fontId="18" numFmtId="0" xfId="0" applyAlignment="1" applyBorder="1" applyFont="1">
      <alignment horizontal="center"/>
    </xf>
    <xf borderId="59" fillId="0" fontId="18" numFmtId="0" xfId="0" applyAlignment="1" applyBorder="1" applyFont="1">
      <alignment horizontal="center"/>
    </xf>
    <xf borderId="20" fillId="0" fontId="8" numFmtId="0" xfId="0" applyAlignment="1" applyBorder="1" applyFont="1">
      <alignment horizontal="center"/>
    </xf>
    <xf borderId="20" fillId="0" fontId="18" numFmtId="0" xfId="0" applyAlignment="1" applyBorder="1" applyFont="1">
      <alignment horizontal="center"/>
    </xf>
    <xf borderId="60" fillId="0" fontId="18" numFmtId="0" xfId="0" applyAlignment="1" applyBorder="1" applyFont="1">
      <alignment horizontal="center"/>
    </xf>
    <xf borderId="60" fillId="0" fontId="8" numFmtId="0" xfId="0" applyAlignment="1" applyBorder="1" applyFont="1">
      <alignment horizontal="center"/>
    </xf>
    <xf borderId="20" fillId="0" fontId="23" numFmtId="4" xfId="0" applyAlignment="1" applyBorder="1" applyFont="1" applyNumberFormat="1">
      <alignment horizontal="center"/>
    </xf>
    <xf borderId="60" fillId="0" fontId="23" numFmtId="4" xfId="0" applyAlignment="1" applyBorder="1" applyFont="1" applyNumberFormat="1">
      <alignment horizontal="center"/>
    </xf>
    <xf borderId="13" fillId="0" fontId="8" numFmtId="0" xfId="0" applyAlignment="1" applyBorder="1" applyFont="1">
      <alignment horizontal="center"/>
    </xf>
    <xf borderId="13" fillId="0" fontId="18" numFmtId="0" xfId="0" applyAlignment="1" applyBorder="1" applyFont="1">
      <alignment horizontal="center"/>
    </xf>
    <xf borderId="3" fillId="0" fontId="18" numFmtId="0" xfId="0" applyAlignment="1" applyBorder="1" applyFont="1">
      <alignment horizontal="center"/>
    </xf>
    <xf borderId="61" fillId="0" fontId="19" numFmtId="0" xfId="0" applyBorder="1" applyFont="1"/>
    <xf borderId="62" fillId="0" fontId="19" numFmtId="0" xfId="0" applyBorder="1" applyFont="1"/>
    <xf borderId="47" fillId="2" fontId="3" numFmtId="0" xfId="0" applyAlignment="1" applyBorder="1" applyFont="1">
      <alignment horizontal="center"/>
    </xf>
    <xf borderId="63" fillId="0" fontId="24" numFmtId="0" xfId="0" applyAlignment="1" applyBorder="1" applyFont="1">
      <alignment horizontal="center"/>
    </xf>
    <xf borderId="38" fillId="0" fontId="25" numFmtId="0" xfId="0" applyBorder="1" applyFont="1"/>
    <xf borderId="64" fillId="3" fontId="3" numFmtId="0" xfId="0" applyAlignment="1" applyBorder="1" applyFont="1">
      <alignment horizontal="center"/>
    </xf>
    <xf borderId="35" fillId="0" fontId="26" numFmtId="0" xfId="0" applyAlignment="1" applyBorder="1" applyFont="1">
      <alignment horizontal="center"/>
    </xf>
    <xf borderId="43" fillId="0" fontId="10" numFmtId="0" xfId="0" applyBorder="1" applyFont="1"/>
    <xf borderId="18" fillId="3" fontId="3" numFmtId="0" xfId="0" applyAlignment="1" applyBorder="1" applyFont="1">
      <alignment horizontal="center"/>
    </xf>
    <xf borderId="65" fillId="3" fontId="3" numFmtId="0" xfId="0" applyAlignment="1" applyBorder="1" applyFont="1">
      <alignment horizontal="center"/>
    </xf>
    <xf borderId="20" fillId="0" fontId="19" numFmtId="0" xfId="0" applyAlignment="1" applyBorder="1" applyFont="1">
      <alignment horizontal="left"/>
    </xf>
    <xf borderId="18" fillId="0" fontId="19" numFmtId="0" xfId="0" applyAlignment="1" applyBorder="1" applyFont="1">
      <alignment horizontal="left"/>
    </xf>
    <xf quotePrefix="1" borderId="18" fillId="0" fontId="19" numFmtId="0" xfId="0" applyBorder="1" applyFont="1"/>
    <xf borderId="18" fillId="0" fontId="19" numFmtId="0" xfId="0" applyBorder="1" applyFont="1"/>
    <xf borderId="18" fillId="0" fontId="27" numFmtId="0" xfId="0" applyAlignment="1" applyBorder="1" applyFont="1">
      <alignment horizontal="center"/>
    </xf>
    <xf borderId="18" fillId="0" fontId="20" numFmtId="0" xfId="0" applyAlignment="1" applyBorder="1" applyFont="1">
      <alignment horizontal="center" vertical="top"/>
    </xf>
    <xf borderId="18" fillId="0" fontId="10" numFmtId="1" xfId="0" applyBorder="1" applyFont="1" applyNumberFormat="1"/>
    <xf borderId="0" fillId="0" fontId="10" numFmtId="0" xfId="0" applyFont="1"/>
    <xf borderId="18" fillId="0" fontId="10" numFmtId="0" xfId="0" applyBorder="1" applyFont="1"/>
    <xf borderId="19" fillId="0" fontId="19" numFmtId="0" xfId="0" applyAlignment="1" applyBorder="1" applyFont="1">
      <alignment horizontal="center"/>
    </xf>
    <xf borderId="18" fillId="0" fontId="19" numFmtId="2" xfId="0" applyAlignment="1" applyBorder="1" applyFont="1" applyNumberFormat="1">
      <alignment horizontal="center"/>
    </xf>
    <xf borderId="19" fillId="0" fontId="19" numFmtId="2" xfId="0" applyAlignment="1" applyBorder="1" applyFont="1" applyNumberFormat="1">
      <alignment horizontal="center"/>
    </xf>
    <xf borderId="18" fillId="0" fontId="8" numFmtId="0" xfId="0" applyAlignment="1" applyBorder="1" applyFont="1">
      <alignment horizontal="right"/>
    </xf>
    <xf borderId="4" fillId="0" fontId="10" numFmtId="0" xfId="0" applyAlignment="1" applyBorder="1" applyFon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25" numFmtId="0" xfId="0" applyFont="1"/>
    <xf borderId="0" fillId="0" fontId="25" numFmtId="0" xfId="0" applyAlignment="1" applyFont="1">
      <alignment horizontal="center"/>
    </xf>
    <xf borderId="6" fillId="3" fontId="25" numFmtId="0" xfId="0" applyAlignment="1" applyBorder="1" applyFont="1">
      <alignment horizontal="center"/>
    </xf>
    <xf borderId="61" fillId="0" fontId="25" numFmtId="0" xfId="0" applyBorder="1" applyFont="1"/>
    <xf borderId="62" fillId="0" fontId="25" numFmtId="0" xfId="0" applyBorder="1" applyFont="1"/>
    <xf borderId="66" fillId="2" fontId="3" numFmtId="0" xfId="0" applyAlignment="1" applyBorder="1" applyFont="1">
      <alignment horizontal="center"/>
    </xf>
    <xf borderId="67" fillId="0" fontId="4" numFmtId="0" xfId="0" applyBorder="1" applyFont="1"/>
    <xf borderId="68" fillId="0" fontId="4" numFmtId="0" xfId="0" applyBorder="1" applyFont="1"/>
    <xf borderId="63" fillId="0" fontId="28" numFmtId="0" xfId="0" applyBorder="1" applyFont="1"/>
    <xf borderId="69" fillId="0" fontId="25" numFmtId="0" xfId="0" applyBorder="1" applyFont="1"/>
    <xf borderId="19" fillId="3" fontId="3" numFmtId="0" xfId="0" applyAlignment="1" applyBorder="1" applyFont="1">
      <alignment horizontal="center"/>
    </xf>
    <xf borderId="35" fillId="0" fontId="10" numFmtId="0" xfId="0" applyBorder="1" applyFont="1"/>
    <xf borderId="32" fillId="0" fontId="10" numFmtId="0" xfId="0" applyBorder="1" applyFont="1"/>
    <xf borderId="36" fillId="0" fontId="19" numFmtId="0" xfId="0" applyBorder="1" applyFont="1"/>
    <xf borderId="18" fillId="0" fontId="29" numFmtId="0" xfId="0" applyAlignment="1" applyBorder="1" applyFont="1">
      <alignment horizontal="center"/>
    </xf>
    <xf borderId="18" fillId="0" fontId="13" numFmtId="1" xfId="0" applyAlignment="1" applyBorder="1" applyFont="1" applyNumberFormat="1">
      <alignment horizontal="center"/>
    </xf>
    <xf borderId="18" fillId="0" fontId="10" numFmtId="0" xfId="0" applyAlignment="1" applyBorder="1" applyFont="1">
      <alignment horizontal="center"/>
    </xf>
    <xf borderId="36" fillId="0" fontId="10" numFmtId="0" xfId="0" applyBorder="1" applyFont="1"/>
    <xf borderId="19" fillId="0" fontId="10" numFmtId="0" xfId="0" applyAlignment="1" applyBorder="1" applyFont="1">
      <alignment horizontal="center"/>
    </xf>
    <xf borderId="60" fillId="0" fontId="3" numFmtId="0" xfId="0" applyAlignment="1" applyBorder="1" applyFont="1">
      <alignment horizontal="right"/>
    </xf>
    <xf borderId="18" fillId="0" fontId="10" numFmtId="2" xfId="0" applyAlignment="1" applyBorder="1" applyFont="1" applyNumberFormat="1">
      <alignment horizontal="center"/>
    </xf>
    <xf borderId="20" fillId="0" fontId="8" numFmtId="0" xfId="0" applyAlignment="1" applyBorder="1" applyFont="1">
      <alignment horizontal="right"/>
    </xf>
    <xf borderId="60" fillId="0" fontId="8" numFmtId="0" xfId="0" applyAlignment="1" applyBorder="1" applyFont="1">
      <alignment horizontal="right"/>
    </xf>
    <xf borderId="60" fillId="0" fontId="8" numFmtId="49" xfId="0" applyAlignment="1" applyBorder="1" applyFont="1" applyNumberFormat="1">
      <alignment horizontal="right"/>
    </xf>
    <xf borderId="3" fillId="0" fontId="8" numFmtId="49" xfId="0" applyAlignment="1" applyBorder="1" applyFont="1" applyNumberFormat="1">
      <alignment horizontal="right"/>
    </xf>
    <xf borderId="14" fillId="0" fontId="10" numFmtId="0" xfId="0" applyAlignment="1" applyBorder="1" applyFont="1">
      <alignment horizontal="center"/>
    </xf>
    <xf borderId="18" fillId="0" fontId="25" numFmtId="0" xfId="0" applyAlignment="1" applyBorder="1" applyFont="1">
      <alignment horizontal="center"/>
    </xf>
    <xf borderId="18" fillId="3" fontId="25" numFmtId="0" xfId="0" applyAlignment="1" applyBorder="1" applyFont="1">
      <alignment horizontal="center"/>
    </xf>
    <xf borderId="18" fillId="3" fontId="30" numFmtId="0" xfId="0" applyAlignment="1" applyBorder="1" applyFont="1">
      <alignment horizontal="center"/>
    </xf>
    <xf borderId="18" fillId="3" fontId="31" numFmtId="0" xfId="0" applyAlignment="1" applyBorder="1" applyFont="1">
      <alignment horizontal="center"/>
    </xf>
    <xf borderId="18" fillId="0" fontId="31" numFmtId="0" xfId="0" applyAlignment="1" applyBorder="1" applyFont="1">
      <alignment horizontal="center"/>
    </xf>
    <xf borderId="0" fillId="0" fontId="31" numFmtId="0" xfId="0" applyAlignment="1" applyFont="1">
      <alignment horizontal="center"/>
    </xf>
    <xf borderId="18" fillId="3" fontId="32" numFmtId="0" xfId="0" applyAlignment="1" applyBorder="1" applyFont="1">
      <alignment horizontal="center"/>
    </xf>
    <xf borderId="6" fillId="3" fontId="30" numFmtId="0" xfId="0" applyAlignment="1" applyBorder="1" applyFont="1">
      <alignment horizontal="center"/>
    </xf>
    <xf borderId="18" fillId="3" fontId="33" numFmtId="0" xfId="0" applyAlignment="1" applyBorder="1" applyFont="1">
      <alignment horizontal="center"/>
    </xf>
    <xf borderId="18" fillId="0" fontId="30" numFmtId="0" xfId="0" applyAlignment="1" applyBorder="1" applyFont="1">
      <alignment horizontal="center"/>
    </xf>
    <xf borderId="18" fillId="0" fontId="5" numFmtId="2" xfId="0" applyAlignment="1" applyBorder="1" applyFont="1" applyNumberFormat="1">
      <alignment horizontal="center"/>
    </xf>
    <xf borderId="18" fillId="3" fontId="5" numFmtId="2" xfId="0" applyAlignment="1" applyBorder="1" applyFont="1" applyNumberFormat="1">
      <alignment horizontal="center"/>
    </xf>
    <xf borderId="0" fillId="0" fontId="5" numFmtId="2" xfId="0" applyAlignment="1" applyFont="1" applyNumberFormat="1">
      <alignment horizontal="center"/>
    </xf>
    <xf borderId="18" fillId="0" fontId="1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70" fillId="0" fontId="1" numFmtId="0" xfId="0" applyAlignment="1" applyBorder="1" applyFont="1">
      <alignment horizontal="center"/>
    </xf>
    <xf borderId="71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6" fillId="3" fontId="10" numFmtId="0" xfId="0" applyAlignment="1" applyBorder="1" applyFont="1">
      <alignment horizontal="center"/>
    </xf>
    <xf borderId="0" fillId="0" fontId="21" numFmtId="0" xfId="0" applyFont="1"/>
    <xf borderId="0" fillId="0" fontId="34" numFmtId="0" xfId="0" applyFont="1"/>
    <xf borderId="0" fillId="0" fontId="25" numFmtId="12" xfId="0" applyFont="1" applyNumberFormat="1"/>
    <xf borderId="72" fillId="0" fontId="34" numFmtId="0" xfId="0" applyBorder="1" applyFont="1"/>
    <xf borderId="73" fillId="0" fontId="25" numFmtId="0" xfId="0" applyBorder="1" applyFont="1"/>
    <xf borderId="73" fillId="0" fontId="25" numFmtId="12" xfId="0" applyBorder="1" applyFont="1" applyNumberFormat="1"/>
    <xf borderId="35" fillId="0" fontId="4" numFmtId="0" xfId="0" applyBorder="1" applyFont="1"/>
    <xf borderId="18" fillId="0" fontId="19" numFmtId="12" xfId="0" applyBorder="1" applyFont="1" applyNumberFormat="1"/>
    <xf borderId="18" fillId="0" fontId="35" numFmtId="0" xfId="0" applyAlignment="1" applyBorder="1" applyFont="1">
      <alignment horizontal="center"/>
    </xf>
    <xf borderId="18" fillId="0" fontId="36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43" fillId="0" fontId="37" numFmtId="0" xfId="0" applyAlignment="1" applyBorder="1" applyFont="1">
      <alignment horizontal="center"/>
    </xf>
    <xf borderId="10" fillId="4" fontId="36" numFmtId="0" xfId="0" applyAlignment="1" applyBorder="1" applyFill="1" applyFont="1">
      <alignment horizontal="center"/>
    </xf>
    <xf borderId="43" fillId="0" fontId="35" numFmtId="0" xfId="0" applyAlignment="1" applyBorder="1" applyFont="1">
      <alignment horizontal="center"/>
    </xf>
    <xf borderId="37" fillId="0" fontId="10" numFmtId="2" xfId="0" applyAlignment="1" applyBorder="1" applyFont="1" applyNumberFormat="1">
      <alignment horizontal="center"/>
    </xf>
    <xf borderId="19" fillId="0" fontId="10" numFmtId="2" xfId="0" applyAlignment="1" applyBorder="1" applyFont="1" applyNumberFormat="1">
      <alignment horizontal="center"/>
    </xf>
    <xf borderId="20" fillId="0" fontId="8" numFmtId="12" xfId="0" applyAlignment="1" applyBorder="1" applyFont="1" applyNumberFormat="1">
      <alignment horizontal="right"/>
    </xf>
    <xf borderId="65" fillId="0" fontId="10" numFmtId="0" xfId="0" applyAlignment="1" applyBorder="1" applyFont="1">
      <alignment horizontal="center"/>
    </xf>
    <xf borderId="47" fillId="2" fontId="12" numFmtId="0" xfId="0" applyAlignment="1" applyBorder="1" applyFont="1">
      <alignment horizontal="center"/>
    </xf>
    <xf borderId="19" fillId="0" fontId="25" numFmtId="0" xfId="0" applyAlignment="1" applyBorder="1" applyFont="1">
      <alignment horizontal="center"/>
    </xf>
    <xf borderId="19" fillId="0" fontId="29" numFmtId="0" xfId="0" applyAlignment="1" applyBorder="1" applyFont="1">
      <alignment horizontal="center"/>
    </xf>
    <xf borderId="18" fillId="0" fontId="37" numFmtId="0" xfId="0" applyAlignment="1" applyBorder="1" applyFont="1">
      <alignment horizontal="center"/>
    </xf>
    <xf borderId="17" fillId="0" fontId="19" numFmtId="0" xfId="0" applyAlignment="1" applyBorder="1" applyFont="1">
      <alignment horizontal="center"/>
    </xf>
    <xf borderId="37" fillId="0" fontId="10" numFmtId="0" xfId="0" applyAlignment="1" applyBorder="1" applyFont="1">
      <alignment horizontal="center"/>
    </xf>
    <xf borderId="0" fillId="0" fontId="21" numFmtId="0" xfId="0" applyAlignment="1" applyFont="1">
      <alignment horizontal="center" vertical="center"/>
    </xf>
    <xf borderId="17" fillId="0" fontId="6" numFmtId="12" xfId="0" applyAlignment="1" applyBorder="1" applyFont="1" applyNumberFormat="1">
      <alignment horizontal="left" vertical="center"/>
    </xf>
    <xf borderId="16" fillId="0" fontId="5" numFmtId="0" xfId="0" applyAlignment="1" applyBorder="1" applyFont="1">
      <alignment horizontal="left" shrinkToFit="0" vertical="center" wrapText="1"/>
    </xf>
    <xf borderId="9" fillId="3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20" fillId="3" fontId="5" numFmtId="0" xfId="0" applyAlignment="1" applyBorder="1" applyFont="1">
      <alignment horizontal="center" vertical="center"/>
    </xf>
    <xf borderId="18" fillId="3" fontId="5" numFmtId="0" xfId="0" applyAlignment="1" applyBorder="1" applyFont="1">
      <alignment horizontal="center" vertical="center"/>
    </xf>
    <xf borderId="17" fillId="0" fontId="16" numFmtId="12" xfId="0" applyAlignment="1" applyBorder="1" applyFont="1" applyNumberFormat="1">
      <alignment horizontal="left"/>
    </xf>
    <xf borderId="18" fillId="0" fontId="13" numFmtId="0" xfId="0" applyAlignment="1" applyBorder="1" applyFont="1">
      <alignment horizontal="left" shrinkToFit="0" wrapText="1"/>
    </xf>
    <xf borderId="74" fillId="0" fontId="21" numFmtId="0" xfId="0" applyAlignment="1" applyBorder="1" applyFont="1">
      <alignment horizontal="center"/>
    </xf>
    <xf quotePrefix="1" borderId="18" fillId="0" fontId="19" numFmtId="0" xfId="0" applyAlignment="1" applyBorder="1" applyFont="1">
      <alignment horizontal="left"/>
    </xf>
    <xf borderId="74" fillId="0" fontId="4" numFmtId="0" xfId="0" applyBorder="1" applyFont="1"/>
    <xf borderId="36" fillId="0" fontId="19" numFmtId="0" xfId="0" applyAlignment="1" applyBorder="1" applyFont="1">
      <alignment horizontal="left"/>
    </xf>
    <xf borderId="18" fillId="0" fontId="19" numFmtId="12" xfId="0" applyAlignment="1" applyBorder="1" applyFont="1" applyNumberFormat="1">
      <alignment horizontal="left"/>
    </xf>
  </cellXfs>
  <cellStyles count="1">
    <cellStyle xfId="0" name="Normal" builtinId="0"/>
  </cellStyles>
  <dxfs count="6"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980000"/>
      </font>
      <fill>
        <patternFill patternType="solid">
          <fgColor rgb="FFFFFFFF"/>
          <bgColor rgb="FFFFFFFF"/>
        </patternFill>
      </fill>
      <border/>
    </dxf>
    <dxf>
      <font>
        <color rgb="FF0000FF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63"/>
    <col customWidth="1" min="3" max="3" width="21.38"/>
    <col customWidth="1" min="4" max="4" width="28.88"/>
    <col customWidth="1" min="5" max="9" width="8.88"/>
    <col customWidth="1" min="10" max="10" width="22.13"/>
    <col customWidth="1" min="11" max="11" width="20.88"/>
  </cols>
  <sheetData>
    <row r="1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ht="15.75" customHeight="1">
      <c r="A3" s="3" t="s">
        <v>0</v>
      </c>
      <c r="B3" s="4" t="s">
        <v>1</v>
      </c>
      <c r="C3" s="5" t="s">
        <v>2</v>
      </c>
      <c r="D3" s="4" t="s">
        <v>3</v>
      </c>
      <c r="E3" s="6" t="s">
        <v>4</v>
      </c>
      <c r="F3" s="7"/>
      <c r="G3" s="7"/>
      <c r="H3" s="7"/>
      <c r="I3" s="7"/>
      <c r="J3" s="8"/>
      <c r="K3" s="9"/>
      <c r="L3" s="9"/>
    </row>
    <row r="4" ht="15.75" customHeight="1">
      <c r="A4" s="10"/>
      <c r="B4" s="11"/>
      <c r="C4" s="11"/>
      <c r="D4" s="11"/>
      <c r="E4" s="12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/>
      <c r="K4" s="14"/>
      <c r="L4" s="14"/>
    </row>
    <row r="5" ht="15.75" customHeight="1">
      <c r="A5" s="15"/>
      <c r="B5" s="16"/>
      <c r="C5" s="16"/>
      <c r="D5" s="16"/>
      <c r="E5" s="17" t="s">
        <v>10</v>
      </c>
      <c r="F5" s="18" t="s">
        <v>11</v>
      </c>
      <c r="G5" s="18" t="s">
        <v>12</v>
      </c>
      <c r="H5" s="18" t="s">
        <v>13</v>
      </c>
      <c r="I5" s="18" t="s">
        <v>14</v>
      </c>
      <c r="J5" s="18"/>
      <c r="K5" s="14"/>
      <c r="L5" s="14"/>
    </row>
    <row r="6" ht="15.75" customHeight="1">
      <c r="A6" s="19">
        <v>1.0</v>
      </c>
      <c r="B6" s="20">
        <v>9901.0</v>
      </c>
      <c r="C6" s="21">
        <v>9.11724104002E11</v>
      </c>
      <c r="D6" s="22" t="s">
        <v>15</v>
      </c>
      <c r="E6" s="23">
        <v>94.0</v>
      </c>
      <c r="F6" s="24">
        <v>73.0</v>
      </c>
      <c r="G6" s="24">
        <v>83.0</v>
      </c>
      <c r="H6" s="25">
        <v>62.0</v>
      </c>
      <c r="I6" s="24">
        <v>84.0</v>
      </c>
      <c r="J6" s="24"/>
      <c r="K6" s="26"/>
      <c r="L6" s="26"/>
    </row>
    <row r="7" ht="15.75" customHeight="1">
      <c r="A7" s="27">
        <v>2.0</v>
      </c>
      <c r="B7" s="20">
        <v>9641.0</v>
      </c>
      <c r="C7" s="21">
        <v>9.11724104003E11</v>
      </c>
      <c r="D7" s="22" t="s">
        <v>16</v>
      </c>
      <c r="E7" s="28">
        <v>68.0</v>
      </c>
      <c r="F7" s="29">
        <v>38.0</v>
      </c>
      <c r="G7" s="24">
        <v>53.0</v>
      </c>
      <c r="H7" s="25">
        <v>50.0</v>
      </c>
      <c r="I7" s="24">
        <v>55.0</v>
      </c>
      <c r="J7" s="29"/>
      <c r="K7" s="26"/>
      <c r="L7" s="26"/>
    </row>
    <row r="8" ht="15.75" customHeight="1">
      <c r="A8" s="27">
        <v>3.0</v>
      </c>
      <c r="B8" s="20">
        <v>9747.0</v>
      </c>
      <c r="C8" s="21">
        <v>9.11724104005E11</v>
      </c>
      <c r="D8" s="22" t="s">
        <v>17</v>
      </c>
      <c r="E8" s="28">
        <v>88.0</v>
      </c>
      <c r="F8" s="29">
        <v>60.0</v>
      </c>
      <c r="G8" s="24">
        <v>69.0</v>
      </c>
      <c r="H8" s="25">
        <v>54.0</v>
      </c>
      <c r="I8" s="24">
        <v>72.0</v>
      </c>
      <c r="J8" s="29"/>
      <c r="K8" s="26"/>
      <c r="L8" s="26"/>
    </row>
    <row r="9" ht="15.75" customHeight="1">
      <c r="A9" s="27">
        <v>4.0</v>
      </c>
      <c r="B9" s="20">
        <v>9612.0</v>
      </c>
      <c r="C9" s="21">
        <v>9.11724104008E11</v>
      </c>
      <c r="D9" s="22" t="s">
        <v>18</v>
      </c>
      <c r="E9" s="28">
        <v>45.0</v>
      </c>
      <c r="F9" s="29">
        <v>41.0</v>
      </c>
      <c r="G9" s="24">
        <v>13.0</v>
      </c>
      <c r="H9" s="25">
        <v>14.0</v>
      </c>
      <c r="I9" s="24">
        <v>12.0</v>
      </c>
      <c r="J9" s="29"/>
      <c r="K9" s="26"/>
      <c r="L9" s="26"/>
    </row>
    <row r="10" ht="15.75" customHeight="1">
      <c r="A10" s="27">
        <v>5.0</v>
      </c>
      <c r="B10" s="20">
        <v>9750.0</v>
      </c>
      <c r="C10" s="21">
        <v>9.11724104009E11</v>
      </c>
      <c r="D10" s="22" t="s">
        <v>19</v>
      </c>
      <c r="E10" s="28">
        <v>82.0</v>
      </c>
      <c r="F10" s="29">
        <v>73.0</v>
      </c>
      <c r="G10" s="24">
        <v>60.0</v>
      </c>
      <c r="H10" s="25">
        <v>71.0</v>
      </c>
      <c r="I10" s="24">
        <v>70.0</v>
      </c>
      <c r="J10" s="29"/>
      <c r="K10" s="26"/>
      <c r="L10" s="26"/>
    </row>
    <row r="11" ht="15.75" customHeight="1">
      <c r="A11" s="27">
        <v>6.0</v>
      </c>
      <c r="B11" s="20">
        <v>9999.0</v>
      </c>
      <c r="C11" s="21">
        <v>9.11724104011E11</v>
      </c>
      <c r="D11" s="22" t="s">
        <v>20</v>
      </c>
      <c r="E11" s="28">
        <v>82.0</v>
      </c>
      <c r="F11" s="29">
        <v>41.0</v>
      </c>
      <c r="G11" s="24">
        <v>62.0</v>
      </c>
      <c r="H11" s="25">
        <v>17.0</v>
      </c>
      <c r="I11" s="24">
        <v>64.0</v>
      </c>
      <c r="J11" s="29"/>
      <c r="K11" s="26"/>
      <c r="L11" s="26"/>
    </row>
    <row r="12" ht="15.75" customHeight="1">
      <c r="A12" s="27">
        <v>7.0</v>
      </c>
      <c r="B12" s="20">
        <v>9650.0</v>
      </c>
      <c r="C12" s="21">
        <v>9.11724104013E11</v>
      </c>
      <c r="D12" s="22" t="s">
        <v>21</v>
      </c>
      <c r="E12" s="28">
        <v>7.0</v>
      </c>
      <c r="F12" s="29">
        <v>31.0</v>
      </c>
      <c r="G12" s="24">
        <v>8.0</v>
      </c>
      <c r="H12" s="25">
        <v>25.0</v>
      </c>
      <c r="I12" s="24">
        <v>10.0</v>
      </c>
      <c r="J12" s="29"/>
      <c r="K12" s="26"/>
      <c r="L12" s="26"/>
    </row>
    <row r="13" ht="15.75" customHeight="1">
      <c r="A13" s="27">
        <v>8.0</v>
      </c>
      <c r="B13" s="20">
        <v>9975.0</v>
      </c>
      <c r="C13" s="21">
        <v>9.11724104015E11</v>
      </c>
      <c r="D13" s="22" t="s">
        <v>22</v>
      </c>
      <c r="E13" s="28">
        <v>61.0</v>
      </c>
      <c r="F13" s="29">
        <v>31.0</v>
      </c>
      <c r="G13" s="24">
        <v>23.0</v>
      </c>
      <c r="H13" s="25">
        <v>6.0</v>
      </c>
      <c r="I13" s="24">
        <v>27.0</v>
      </c>
      <c r="J13" s="29"/>
      <c r="K13" s="26"/>
      <c r="L13" s="26"/>
    </row>
    <row r="14" ht="15.75" customHeight="1">
      <c r="A14" s="27">
        <v>9.0</v>
      </c>
      <c r="B14" s="20">
        <v>9637.0</v>
      </c>
      <c r="C14" s="21">
        <v>9.11724104014E11</v>
      </c>
      <c r="D14" s="22" t="s">
        <v>23</v>
      </c>
      <c r="E14" s="28">
        <v>19.0</v>
      </c>
      <c r="F14" s="29">
        <v>37.0</v>
      </c>
      <c r="G14" s="24">
        <v>56.0</v>
      </c>
      <c r="H14" s="25">
        <v>58.0</v>
      </c>
      <c r="I14" s="24">
        <v>62.0</v>
      </c>
      <c r="J14" s="29"/>
      <c r="K14" s="26"/>
      <c r="L14" s="26"/>
    </row>
    <row r="15" ht="15.75" customHeight="1">
      <c r="A15" s="27">
        <v>10.0</v>
      </c>
      <c r="B15" s="20">
        <v>9958.0</v>
      </c>
      <c r="C15" s="21">
        <v>9.11724104018E11</v>
      </c>
      <c r="D15" s="22" t="s">
        <v>24</v>
      </c>
      <c r="E15" s="28">
        <v>92.0</v>
      </c>
      <c r="F15" s="29">
        <v>76.0</v>
      </c>
      <c r="G15" s="24">
        <v>66.0</v>
      </c>
      <c r="H15" s="25">
        <v>80.0</v>
      </c>
      <c r="I15" s="24">
        <v>72.0</v>
      </c>
      <c r="J15" s="29"/>
      <c r="K15" s="26"/>
      <c r="L15" s="26"/>
    </row>
    <row r="16" ht="15.75" customHeight="1">
      <c r="A16" s="27">
        <v>11.0</v>
      </c>
      <c r="B16" s="20">
        <v>9942.0</v>
      </c>
      <c r="C16" s="21">
        <v>9.1172410402E11</v>
      </c>
      <c r="D16" s="22" t="s">
        <v>25</v>
      </c>
      <c r="E16" s="28">
        <v>94.0</v>
      </c>
      <c r="F16" s="29">
        <v>75.0</v>
      </c>
      <c r="G16" s="24">
        <v>73.0</v>
      </c>
      <c r="H16" s="25">
        <v>54.0</v>
      </c>
      <c r="I16" s="24">
        <v>76.0</v>
      </c>
      <c r="J16" s="29"/>
      <c r="K16" s="26"/>
      <c r="L16" s="26"/>
    </row>
    <row r="17" ht="15.75" customHeight="1">
      <c r="A17" s="27">
        <v>12.0</v>
      </c>
      <c r="B17" s="20">
        <v>9914.0</v>
      </c>
      <c r="C17" s="30">
        <v>9.11724104021E11</v>
      </c>
      <c r="D17" s="22" t="s">
        <v>26</v>
      </c>
      <c r="E17" s="28">
        <v>52.0</v>
      </c>
      <c r="F17" s="29">
        <v>30.0</v>
      </c>
      <c r="G17" s="24" t="s">
        <v>27</v>
      </c>
      <c r="H17" s="25">
        <v>26.0</v>
      </c>
      <c r="I17" s="24">
        <v>25.0</v>
      </c>
      <c r="J17" s="29"/>
      <c r="K17" s="26"/>
      <c r="L17" s="26"/>
    </row>
    <row r="18" ht="15.75" customHeight="1">
      <c r="A18" s="27">
        <v>13.0</v>
      </c>
      <c r="B18" s="20">
        <v>9680.0</v>
      </c>
      <c r="C18" s="21">
        <v>9.11724104022E11</v>
      </c>
      <c r="D18" s="22" t="s">
        <v>28</v>
      </c>
      <c r="E18" s="28" t="s">
        <v>27</v>
      </c>
      <c r="F18" s="29">
        <v>19.0</v>
      </c>
      <c r="G18" s="24">
        <v>21.0</v>
      </c>
      <c r="H18" s="25">
        <v>40.0</v>
      </c>
      <c r="I18" s="24">
        <v>22.0</v>
      </c>
      <c r="J18" s="29"/>
      <c r="K18" s="26"/>
      <c r="L18" s="26"/>
    </row>
    <row r="19" ht="15.75" customHeight="1">
      <c r="A19" s="27">
        <v>14.0</v>
      </c>
      <c r="B19" s="20">
        <v>10015.0</v>
      </c>
      <c r="C19" s="30">
        <v>9.11724104025E11</v>
      </c>
      <c r="D19" s="22" t="s">
        <v>29</v>
      </c>
      <c r="E19" s="28">
        <v>74.0</v>
      </c>
      <c r="F19" s="29">
        <v>50.0</v>
      </c>
      <c r="G19" s="24" t="s">
        <v>27</v>
      </c>
      <c r="H19" s="25">
        <v>50.0</v>
      </c>
      <c r="I19" s="24">
        <v>68.0</v>
      </c>
      <c r="J19" s="29"/>
      <c r="K19" s="26"/>
      <c r="L19" s="26"/>
    </row>
    <row r="20" ht="15.75" customHeight="1">
      <c r="A20" s="27">
        <v>15.0</v>
      </c>
      <c r="B20" s="20">
        <v>9670.0</v>
      </c>
      <c r="C20" s="21">
        <v>9.11724104031E11</v>
      </c>
      <c r="D20" s="22" t="s">
        <v>30</v>
      </c>
      <c r="E20" s="28">
        <v>42.0</v>
      </c>
      <c r="F20" s="29">
        <v>50.0</v>
      </c>
      <c r="G20" s="24">
        <v>17.0</v>
      </c>
      <c r="H20" s="25">
        <v>4.0</v>
      </c>
      <c r="I20" s="24">
        <v>34.0</v>
      </c>
      <c r="J20" s="29"/>
      <c r="K20" s="26"/>
      <c r="L20" s="26"/>
    </row>
    <row r="21" ht="15.75" customHeight="1">
      <c r="A21" s="27">
        <v>16.0</v>
      </c>
      <c r="B21" s="20">
        <v>9920.0</v>
      </c>
      <c r="C21" s="21">
        <v>9.11724104033E11</v>
      </c>
      <c r="D21" s="22" t="s">
        <v>31</v>
      </c>
      <c r="E21" s="28">
        <v>92.0</v>
      </c>
      <c r="F21" s="29">
        <v>78.0</v>
      </c>
      <c r="G21" s="24">
        <v>71.0</v>
      </c>
      <c r="H21" s="25">
        <v>52.0</v>
      </c>
      <c r="I21" s="24">
        <v>74.0</v>
      </c>
      <c r="J21" s="29"/>
      <c r="K21" s="26"/>
      <c r="L21" s="26"/>
    </row>
    <row r="22" ht="15.75" customHeight="1">
      <c r="A22" s="27">
        <v>17.0</v>
      </c>
      <c r="B22" s="20">
        <v>9699.0</v>
      </c>
      <c r="C22" s="21">
        <v>9.11724104036E11</v>
      </c>
      <c r="D22" s="22" t="s">
        <v>32</v>
      </c>
      <c r="E22" s="28">
        <v>88.0</v>
      </c>
      <c r="F22" s="29">
        <v>60.0</v>
      </c>
      <c r="G22" s="24">
        <v>82.0</v>
      </c>
      <c r="H22" s="25">
        <v>71.0</v>
      </c>
      <c r="I22" s="24">
        <v>83.0</v>
      </c>
      <c r="J22" s="29"/>
      <c r="K22" s="26"/>
      <c r="L22" s="26"/>
    </row>
    <row r="23" ht="15.75" customHeight="1">
      <c r="A23" s="27">
        <v>18.0</v>
      </c>
      <c r="B23" s="20">
        <v>9551.0</v>
      </c>
      <c r="C23" s="21">
        <v>9.11724104037E11</v>
      </c>
      <c r="D23" s="22" t="s">
        <v>33</v>
      </c>
      <c r="E23" s="28">
        <v>80.0</v>
      </c>
      <c r="F23" s="29">
        <v>20.0</v>
      </c>
      <c r="G23" s="24">
        <v>34.0</v>
      </c>
      <c r="H23" s="25">
        <v>15.0</v>
      </c>
      <c r="I23" s="24">
        <v>28.0</v>
      </c>
      <c r="J23" s="29"/>
      <c r="K23" s="26"/>
      <c r="L23" s="26"/>
    </row>
    <row r="24" ht="15.75" customHeight="1">
      <c r="A24" s="27">
        <v>19.0</v>
      </c>
      <c r="B24" s="20">
        <v>9674.0</v>
      </c>
      <c r="C24" s="21">
        <v>9.11724104039E11</v>
      </c>
      <c r="D24" s="22" t="s">
        <v>34</v>
      </c>
      <c r="E24" s="28">
        <v>51.0</v>
      </c>
      <c r="F24" s="29">
        <v>22.0</v>
      </c>
      <c r="G24" s="24">
        <v>34.0</v>
      </c>
      <c r="H24" s="25">
        <v>22.0</v>
      </c>
      <c r="I24" s="24">
        <v>50.0</v>
      </c>
      <c r="J24" s="29"/>
      <c r="K24" s="26"/>
      <c r="L24" s="26"/>
    </row>
    <row r="25" ht="15.75" customHeight="1">
      <c r="A25" s="27">
        <v>20.0</v>
      </c>
      <c r="B25" s="20">
        <v>9943.0</v>
      </c>
      <c r="C25" s="30">
        <v>9.1172410404E11</v>
      </c>
      <c r="D25" s="22" t="s">
        <v>35</v>
      </c>
      <c r="E25" s="28">
        <v>66.0</v>
      </c>
      <c r="F25" s="29">
        <v>31.0</v>
      </c>
      <c r="G25" s="24">
        <v>62.0</v>
      </c>
      <c r="H25" s="25">
        <v>40.0</v>
      </c>
      <c r="I25" s="24">
        <v>61.0</v>
      </c>
      <c r="J25" s="29"/>
      <c r="K25" s="26"/>
      <c r="L25" s="26"/>
    </row>
    <row r="26" ht="15.75" customHeight="1">
      <c r="A26" s="27">
        <v>21.0</v>
      </c>
      <c r="B26" s="20">
        <v>9712.0</v>
      </c>
      <c r="C26" s="21">
        <v>9.11724104041E11</v>
      </c>
      <c r="D26" s="22" t="s">
        <v>36</v>
      </c>
      <c r="E26" s="28">
        <v>52.0</v>
      </c>
      <c r="F26" s="29">
        <v>8.0</v>
      </c>
      <c r="G26" s="24">
        <v>64.0</v>
      </c>
      <c r="H26" s="25">
        <v>34.0</v>
      </c>
      <c r="I26" s="24">
        <v>50.0</v>
      </c>
      <c r="J26" s="29"/>
      <c r="K26" s="26"/>
      <c r="L26" s="26"/>
    </row>
    <row r="27" ht="15.75" customHeight="1">
      <c r="A27" s="27">
        <v>22.0</v>
      </c>
      <c r="B27" s="20">
        <v>9917.0</v>
      </c>
      <c r="C27" s="21">
        <v>9.11724104044E11</v>
      </c>
      <c r="D27" s="22" t="s">
        <v>37</v>
      </c>
      <c r="E27" s="28">
        <v>75.0</v>
      </c>
      <c r="F27" s="29">
        <v>60.0</v>
      </c>
      <c r="G27" s="24">
        <v>65.0</v>
      </c>
      <c r="H27" s="25">
        <v>59.0</v>
      </c>
      <c r="I27" s="24">
        <v>74.0</v>
      </c>
      <c r="J27" s="29"/>
      <c r="K27" s="26"/>
      <c r="L27" s="26"/>
    </row>
    <row r="28" ht="15.75" customHeight="1">
      <c r="A28" s="27">
        <v>23.0</v>
      </c>
      <c r="B28" s="20">
        <v>9657.0</v>
      </c>
      <c r="C28" s="21">
        <v>9.11724104045E11</v>
      </c>
      <c r="D28" s="22" t="s">
        <v>38</v>
      </c>
      <c r="E28" s="28">
        <v>66.0</v>
      </c>
      <c r="F28" s="29">
        <v>53.0</v>
      </c>
      <c r="G28" s="24">
        <v>66.0</v>
      </c>
      <c r="H28" s="25">
        <v>39.0</v>
      </c>
      <c r="I28" s="24">
        <v>65.0</v>
      </c>
      <c r="J28" s="29"/>
      <c r="K28" s="26"/>
      <c r="L28" s="26"/>
    </row>
    <row r="29" ht="15.75" customHeight="1">
      <c r="A29" s="27">
        <v>24.0</v>
      </c>
      <c r="B29" s="20">
        <v>9907.0</v>
      </c>
      <c r="C29" s="21">
        <v>9.11724104046E11</v>
      </c>
      <c r="D29" s="22" t="s">
        <v>39</v>
      </c>
      <c r="E29" s="28">
        <v>81.0</v>
      </c>
      <c r="F29" s="29">
        <v>78.0</v>
      </c>
      <c r="G29" s="24">
        <v>72.0</v>
      </c>
      <c r="H29" s="25">
        <v>51.0</v>
      </c>
      <c r="I29" s="24">
        <v>78.0</v>
      </c>
      <c r="J29" s="29"/>
      <c r="K29" s="26"/>
      <c r="L29" s="26"/>
    </row>
    <row r="30" ht="15.75" customHeight="1">
      <c r="A30" s="27">
        <v>25.0</v>
      </c>
      <c r="B30" s="20">
        <v>9937.0</v>
      </c>
      <c r="C30" s="21">
        <v>9.11724104049E11</v>
      </c>
      <c r="D30" s="22" t="s">
        <v>40</v>
      </c>
      <c r="E30" s="28">
        <v>86.0</v>
      </c>
      <c r="F30" s="29">
        <v>69.0</v>
      </c>
      <c r="G30" s="24">
        <v>58.0</v>
      </c>
      <c r="H30" s="25">
        <v>40.0</v>
      </c>
      <c r="I30" s="24">
        <v>75.0</v>
      </c>
      <c r="J30" s="29"/>
      <c r="K30" s="26"/>
      <c r="L30" s="26"/>
    </row>
    <row r="31" ht="15.75" customHeight="1">
      <c r="A31" s="27">
        <v>26.0</v>
      </c>
      <c r="B31" s="20">
        <v>9981.0</v>
      </c>
      <c r="C31" s="21">
        <v>9.11724104051E11</v>
      </c>
      <c r="D31" s="22" t="s">
        <v>41</v>
      </c>
      <c r="E31" s="28">
        <v>72.0</v>
      </c>
      <c r="F31" s="29">
        <v>56.0</v>
      </c>
      <c r="G31" s="24">
        <v>76.0</v>
      </c>
      <c r="H31" s="25">
        <v>50.0</v>
      </c>
      <c r="I31" s="24">
        <v>77.0</v>
      </c>
      <c r="J31" s="29"/>
      <c r="K31" s="26"/>
      <c r="L31" s="26"/>
    </row>
    <row r="32" ht="15.75" customHeight="1">
      <c r="A32" s="27">
        <v>27.0</v>
      </c>
      <c r="B32" s="20">
        <v>9760.0</v>
      </c>
      <c r="C32" s="21">
        <v>9.11724104053E11</v>
      </c>
      <c r="D32" s="22" t="s">
        <v>42</v>
      </c>
      <c r="E32" s="28">
        <v>65.0</v>
      </c>
      <c r="F32" s="29">
        <v>50.0</v>
      </c>
      <c r="G32" s="24">
        <v>50.0</v>
      </c>
      <c r="H32" s="25">
        <v>25.0</v>
      </c>
      <c r="I32" s="24">
        <v>55.0</v>
      </c>
      <c r="J32" s="29"/>
      <c r="K32" s="26"/>
      <c r="L32" s="26"/>
    </row>
    <row r="33" ht="15.75" customHeight="1">
      <c r="A33" s="27">
        <v>28.0</v>
      </c>
      <c r="B33" s="20">
        <v>9789.0</v>
      </c>
      <c r="C33" s="21">
        <v>9.11724104056E11</v>
      </c>
      <c r="D33" s="22" t="s">
        <v>43</v>
      </c>
      <c r="E33" s="28">
        <v>71.0</v>
      </c>
      <c r="F33" s="29">
        <v>54.0</v>
      </c>
      <c r="G33" s="24">
        <v>38.0</v>
      </c>
      <c r="H33" s="25">
        <v>50.0</v>
      </c>
      <c r="I33" s="24">
        <v>30.0</v>
      </c>
      <c r="J33" s="29"/>
      <c r="K33" s="26"/>
      <c r="L33" s="26"/>
    </row>
    <row r="34" ht="15.75" customHeight="1">
      <c r="A34" s="27">
        <v>29.0</v>
      </c>
      <c r="B34" s="20">
        <v>9601.0</v>
      </c>
      <c r="C34" s="21">
        <v>9.11724104061E11</v>
      </c>
      <c r="D34" s="22" t="s">
        <v>44</v>
      </c>
      <c r="E34" s="28">
        <v>85.0</v>
      </c>
      <c r="F34" s="29" t="s">
        <v>27</v>
      </c>
      <c r="G34" s="24">
        <v>58.0</v>
      </c>
      <c r="H34" s="25">
        <v>38.0</v>
      </c>
      <c r="I34" s="24">
        <v>54.0</v>
      </c>
      <c r="J34" s="29"/>
      <c r="K34" s="26"/>
      <c r="L34" s="26"/>
    </row>
    <row r="35" ht="15.75" customHeight="1">
      <c r="A35" s="27">
        <v>30.0</v>
      </c>
      <c r="B35" s="20">
        <v>9636.0</v>
      </c>
      <c r="C35" s="21">
        <v>9.11724104063E11</v>
      </c>
      <c r="D35" s="22" t="s">
        <v>45</v>
      </c>
      <c r="E35" s="28">
        <v>84.0</v>
      </c>
      <c r="F35" s="29">
        <v>50.0</v>
      </c>
      <c r="G35" s="24">
        <v>70.0</v>
      </c>
      <c r="H35" s="25">
        <v>67.0</v>
      </c>
      <c r="I35" s="24">
        <v>74.0</v>
      </c>
      <c r="J35" s="29"/>
      <c r="K35" s="26"/>
      <c r="L35" s="26"/>
    </row>
    <row r="36" ht="15.75" customHeight="1">
      <c r="A36" s="27">
        <v>31.0</v>
      </c>
      <c r="B36" s="20"/>
      <c r="C36" s="21">
        <v>9.11724104065E11</v>
      </c>
      <c r="D36" s="22" t="s">
        <v>46</v>
      </c>
      <c r="E36" s="28">
        <v>81.0</v>
      </c>
      <c r="F36" s="29">
        <v>74.0</v>
      </c>
      <c r="G36" s="24">
        <v>65.0</v>
      </c>
      <c r="H36" s="25">
        <v>64.0</v>
      </c>
      <c r="I36" s="24">
        <v>78.0</v>
      </c>
      <c r="J36" s="29"/>
      <c r="K36" s="26"/>
      <c r="L36" s="26"/>
    </row>
    <row r="37" ht="15.75" customHeight="1">
      <c r="A37" s="27">
        <v>32.0</v>
      </c>
      <c r="B37" s="20">
        <v>9725.0</v>
      </c>
      <c r="C37" s="21">
        <v>9.11724104064E11</v>
      </c>
      <c r="D37" s="22" t="s">
        <v>47</v>
      </c>
      <c r="E37" s="28">
        <v>61.0</v>
      </c>
      <c r="F37" s="29">
        <v>50.0</v>
      </c>
      <c r="G37" s="24">
        <v>61.0</v>
      </c>
      <c r="H37" s="25">
        <v>31.0</v>
      </c>
      <c r="I37" s="24">
        <v>63.0</v>
      </c>
      <c r="J37" s="29"/>
      <c r="K37" s="26"/>
      <c r="L37" s="26"/>
    </row>
    <row r="38" ht="15.75" customHeight="1">
      <c r="A38" s="27">
        <v>33.0</v>
      </c>
      <c r="B38" s="20">
        <v>9600.0</v>
      </c>
      <c r="C38" s="21">
        <v>9.11724104067E11</v>
      </c>
      <c r="D38" s="22" t="s">
        <v>48</v>
      </c>
      <c r="E38" s="28">
        <v>56.0</v>
      </c>
      <c r="F38" s="29">
        <v>28.0</v>
      </c>
      <c r="G38" s="24">
        <v>36.0</v>
      </c>
      <c r="H38" s="25">
        <v>19.0</v>
      </c>
      <c r="I38" s="24">
        <v>33.0</v>
      </c>
      <c r="J38" s="29"/>
      <c r="K38" s="26"/>
      <c r="L38" s="26"/>
    </row>
    <row r="39" ht="15.75" customHeight="1">
      <c r="A39" s="27">
        <v>34.0</v>
      </c>
      <c r="B39" s="20">
        <v>9769.0</v>
      </c>
      <c r="C39" s="21">
        <v>9.11724104069E11</v>
      </c>
      <c r="D39" s="22" t="s">
        <v>49</v>
      </c>
      <c r="E39" s="28">
        <v>6.0</v>
      </c>
      <c r="F39" s="29">
        <v>0.0</v>
      </c>
      <c r="G39" s="24">
        <v>14.0</v>
      </c>
      <c r="H39" s="25">
        <v>1.0</v>
      </c>
      <c r="I39" s="24">
        <v>10.0</v>
      </c>
      <c r="J39" s="29"/>
      <c r="K39" s="26"/>
      <c r="L39" s="26"/>
    </row>
    <row r="40" ht="15.75" customHeight="1">
      <c r="A40" s="27">
        <v>35.0</v>
      </c>
      <c r="B40" s="20">
        <v>9909.0</v>
      </c>
      <c r="C40" s="21">
        <v>9.1172410407E11</v>
      </c>
      <c r="D40" s="22" t="s">
        <v>50</v>
      </c>
      <c r="E40" s="28">
        <v>44.0</v>
      </c>
      <c r="F40" s="29">
        <v>30.0</v>
      </c>
      <c r="G40" s="24">
        <v>55.0</v>
      </c>
      <c r="H40" s="25">
        <v>26.0</v>
      </c>
      <c r="I40" s="24">
        <v>25.0</v>
      </c>
      <c r="J40" s="29"/>
      <c r="K40" s="26"/>
      <c r="L40" s="26"/>
    </row>
    <row r="41" ht="15.75" customHeight="1">
      <c r="A41" s="27">
        <v>36.0</v>
      </c>
      <c r="B41" s="20">
        <v>9596.0</v>
      </c>
      <c r="C41" s="21">
        <v>9.11724104071E11</v>
      </c>
      <c r="D41" s="22" t="s">
        <v>51</v>
      </c>
      <c r="E41" s="28">
        <v>19.0</v>
      </c>
      <c r="F41" s="29">
        <v>50.0</v>
      </c>
      <c r="G41" s="24">
        <v>59.0</v>
      </c>
      <c r="H41" s="25">
        <v>34.0</v>
      </c>
      <c r="I41" s="24">
        <v>65.0</v>
      </c>
      <c r="J41" s="29"/>
      <c r="K41" s="26"/>
      <c r="L41" s="26"/>
    </row>
    <row r="42" ht="15.75" customHeight="1">
      <c r="A42" s="27">
        <v>37.0</v>
      </c>
      <c r="B42" s="20">
        <v>9976.0</v>
      </c>
      <c r="C42" s="21">
        <v>9.11724104072E11</v>
      </c>
      <c r="D42" s="22" t="s">
        <v>52</v>
      </c>
      <c r="E42" s="28">
        <v>78.0</v>
      </c>
      <c r="F42" s="29">
        <v>65.0</v>
      </c>
      <c r="G42" s="24">
        <v>64.0</v>
      </c>
      <c r="H42" s="25">
        <v>59.0</v>
      </c>
      <c r="I42" s="24">
        <v>76.0</v>
      </c>
      <c r="J42" s="29"/>
      <c r="K42" s="26"/>
      <c r="L42" s="26"/>
    </row>
    <row r="43" ht="15.75" customHeight="1">
      <c r="A43" s="27">
        <v>38.0</v>
      </c>
      <c r="B43" s="20">
        <v>9628.0</v>
      </c>
      <c r="C43" s="21">
        <v>9.11724104073E11</v>
      </c>
      <c r="D43" s="22" t="s">
        <v>53</v>
      </c>
      <c r="E43" s="28">
        <v>64.0</v>
      </c>
      <c r="F43" s="29">
        <v>72.0</v>
      </c>
      <c r="G43" s="24">
        <v>90.0</v>
      </c>
      <c r="H43" s="25">
        <v>70.0</v>
      </c>
      <c r="I43" s="24">
        <v>76.0</v>
      </c>
      <c r="J43" s="29"/>
      <c r="K43" s="26"/>
      <c r="L43" s="26"/>
    </row>
    <row r="44" ht="15.75" customHeight="1">
      <c r="A44" s="27">
        <v>39.0</v>
      </c>
      <c r="B44" s="20">
        <v>9997.0</v>
      </c>
      <c r="C44" s="21">
        <v>9.11724104074E11</v>
      </c>
      <c r="D44" s="22" t="s">
        <v>54</v>
      </c>
      <c r="E44" s="28">
        <v>17.0</v>
      </c>
      <c r="F44" s="29">
        <v>32.0</v>
      </c>
      <c r="G44" s="24">
        <v>5.0</v>
      </c>
      <c r="H44" s="25">
        <v>8.0</v>
      </c>
      <c r="I44" s="24">
        <v>12.0</v>
      </c>
      <c r="J44" s="29"/>
      <c r="K44" s="26"/>
      <c r="L44" s="26"/>
    </row>
    <row r="45" ht="15.75" customHeight="1">
      <c r="A45" s="27">
        <v>40.0</v>
      </c>
      <c r="B45" s="20">
        <v>9908.0</v>
      </c>
      <c r="C45" s="21">
        <v>9.11724104077E11</v>
      </c>
      <c r="D45" s="22" t="s">
        <v>55</v>
      </c>
      <c r="E45" s="28">
        <v>50.0</v>
      </c>
      <c r="F45" s="29">
        <v>50.0</v>
      </c>
      <c r="G45" s="24">
        <v>36.0</v>
      </c>
      <c r="H45" s="25">
        <v>28.0</v>
      </c>
      <c r="I45" s="24">
        <v>50.0</v>
      </c>
      <c r="J45" s="29"/>
      <c r="K45" s="26"/>
      <c r="L45" s="26"/>
    </row>
    <row r="46" ht="15.75" customHeight="1">
      <c r="A46" s="27">
        <v>41.0</v>
      </c>
      <c r="B46" s="20">
        <v>9595.0</v>
      </c>
      <c r="C46" s="21">
        <v>9.11724104078E11</v>
      </c>
      <c r="D46" s="22" t="s">
        <v>56</v>
      </c>
      <c r="E46" s="28">
        <v>38.0</v>
      </c>
      <c r="F46" s="29">
        <v>37.0</v>
      </c>
      <c r="G46" s="24">
        <v>20.0</v>
      </c>
      <c r="H46" s="25">
        <v>10.0</v>
      </c>
      <c r="I46" s="24">
        <v>22.0</v>
      </c>
      <c r="J46" s="29"/>
      <c r="K46" s="26"/>
      <c r="L46" s="26"/>
    </row>
    <row r="47" ht="15.75" customHeight="1">
      <c r="A47" s="27">
        <v>42.0</v>
      </c>
      <c r="B47" s="20">
        <v>9707.0</v>
      </c>
      <c r="C47" s="21">
        <v>9.11724104083E11</v>
      </c>
      <c r="D47" s="22" t="s">
        <v>57</v>
      </c>
      <c r="E47" s="28">
        <v>20.0</v>
      </c>
      <c r="F47" s="29">
        <v>37.0</v>
      </c>
      <c r="G47" s="24">
        <v>10.0</v>
      </c>
      <c r="H47" s="25">
        <v>2.0</v>
      </c>
      <c r="I47" s="24">
        <v>16.0</v>
      </c>
      <c r="J47" s="29"/>
      <c r="K47" s="26"/>
      <c r="L47" s="26"/>
    </row>
    <row r="48" ht="15.75" customHeight="1">
      <c r="A48" s="27">
        <v>43.0</v>
      </c>
      <c r="B48" s="20">
        <v>9673.0</v>
      </c>
      <c r="C48" s="21">
        <v>9.11724104086E11</v>
      </c>
      <c r="D48" s="22" t="s">
        <v>58</v>
      </c>
      <c r="E48" s="28">
        <v>19.0</v>
      </c>
      <c r="F48" s="29">
        <v>41.0</v>
      </c>
      <c r="G48" s="24">
        <v>42.0</v>
      </c>
      <c r="H48" s="25">
        <v>15.0</v>
      </c>
      <c r="I48" s="24">
        <v>23.0</v>
      </c>
      <c r="J48" s="29"/>
      <c r="K48" s="26"/>
      <c r="L48" s="26"/>
    </row>
    <row r="49" ht="15.75" customHeight="1">
      <c r="A49" s="27">
        <v>44.0</v>
      </c>
      <c r="B49" s="20">
        <v>9841.0</v>
      </c>
      <c r="C49" s="21">
        <v>9.11724104087E11</v>
      </c>
      <c r="D49" s="22" t="s">
        <v>59</v>
      </c>
      <c r="E49" s="28">
        <v>71.0</v>
      </c>
      <c r="F49" s="29">
        <v>58.0</v>
      </c>
      <c r="G49" s="24">
        <v>80.0</v>
      </c>
      <c r="H49" s="25">
        <v>68.0</v>
      </c>
      <c r="I49" s="24">
        <v>75.0</v>
      </c>
      <c r="J49" s="29"/>
      <c r="K49" s="26"/>
      <c r="L49" s="26"/>
    </row>
    <row r="50" ht="15.75" customHeight="1">
      <c r="A50" s="27">
        <v>45.0</v>
      </c>
      <c r="B50" s="20">
        <v>9866.0</v>
      </c>
      <c r="C50" s="21">
        <v>9.11724104088E11</v>
      </c>
      <c r="D50" s="22" t="s">
        <v>60</v>
      </c>
      <c r="E50" s="28">
        <v>66.0</v>
      </c>
      <c r="F50" s="29">
        <v>50.0</v>
      </c>
      <c r="G50" s="24">
        <v>70.0</v>
      </c>
      <c r="H50" s="25">
        <v>26.0</v>
      </c>
      <c r="I50" s="24">
        <v>74.0</v>
      </c>
      <c r="J50" s="29"/>
      <c r="K50" s="26"/>
      <c r="L50" s="26"/>
    </row>
    <row r="51" ht="15.75" customHeight="1">
      <c r="A51" s="27">
        <v>46.0</v>
      </c>
      <c r="B51" s="20">
        <v>9980.0</v>
      </c>
      <c r="C51" s="21">
        <v>9.11724104092E11</v>
      </c>
      <c r="D51" s="22" t="s">
        <v>61</v>
      </c>
      <c r="E51" s="28">
        <v>35.0</v>
      </c>
      <c r="F51" s="29">
        <v>18.0</v>
      </c>
      <c r="G51" s="24">
        <v>17.0</v>
      </c>
      <c r="H51" s="25">
        <v>7.0</v>
      </c>
      <c r="I51" s="24">
        <v>12.0</v>
      </c>
      <c r="J51" s="29"/>
      <c r="K51" s="26"/>
      <c r="L51" s="26"/>
    </row>
    <row r="52" ht="15.75" customHeight="1">
      <c r="A52" s="27">
        <v>47.0</v>
      </c>
      <c r="B52" s="20">
        <v>9919.0</v>
      </c>
      <c r="C52" s="21">
        <v>9.11724104094E11</v>
      </c>
      <c r="D52" s="22" t="s">
        <v>62</v>
      </c>
      <c r="E52" s="28">
        <v>85.0</v>
      </c>
      <c r="F52" s="29">
        <v>64.0</v>
      </c>
      <c r="G52" s="24">
        <v>52.0</v>
      </c>
      <c r="H52" s="25">
        <v>63.0</v>
      </c>
      <c r="I52" s="24">
        <v>59.0</v>
      </c>
      <c r="J52" s="29"/>
      <c r="K52" s="26"/>
      <c r="L52" s="26"/>
    </row>
    <row r="53" ht="15.75" customHeight="1">
      <c r="A53" s="27">
        <v>48.0</v>
      </c>
      <c r="B53" s="20">
        <v>9993.0</v>
      </c>
      <c r="C53" s="21">
        <v>9.11724104096E11</v>
      </c>
      <c r="D53" s="22" t="s">
        <v>63</v>
      </c>
      <c r="E53" s="28">
        <v>88.0</v>
      </c>
      <c r="F53" s="29">
        <v>62.0</v>
      </c>
      <c r="G53" s="24">
        <v>68.0</v>
      </c>
      <c r="H53" s="25">
        <v>50.0</v>
      </c>
      <c r="I53" s="24">
        <v>72.0</v>
      </c>
      <c r="J53" s="29"/>
      <c r="K53" s="26"/>
      <c r="L53" s="26"/>
    </row>
    <row r="54" ht="15.75" customHeight="1">
      <c r="A54" s="27">
        <v>49.0</v>
      </c>
      <c r="B54" s="20">
        <v>9902.0</v>
      </c>
      <c r="C54" s="21">
        <v>9.11724104099E11</v>
      </c>
      <c r="D54" s="22" t="s">
        <v>64</v>
      </c>
      <c r="E54" s="28">
        <v>87.0</v>
      </c>
      <c r="F54" s="29">
        <v>80.0</v>
      </c>
      <c r="G54" s="24">
        <v>77.0</v>
      </c>
      <c r="H54" s="25">
        <v>50.0</v>
      </c>
      <c r="I54" s="24">
        <v>79.0</v>
      </c>
      <c r="J54" s="29"/>
      <c r="K54" s="26"/>
      <c r="L54" s="26"/>
    </row>
    <row r="55" ht="15.75" customHeight="1">
      <c r="A55" s="27">
        <v>50.0</v>
      </c>
      <c r="B55" s="20">
        <v>9858.0</v>
      </c>
      <c r="C55" s="21">
        <v>9.11724104102E11</v>
      </c>
      <c r="D55" s="22" t="s">
        <v>65</v>
      </c>
      <c r="E55" s="28">
        <v>70.0</v>
      </c>
      <c r="F55" s="29">
        <v>50.0</v>
      </c>
      <c r="G55" s="24">
        <v>74.0</v>
      </c>
      <c r="H55" s="25">
        <v>70.0</v>
      </c>
      <c r="I55" s="24">
        <v>60.0</v>
      </c>
      <c r="J55" s="29"/>
      <c r="K55" s="26"/>
      <c r="L55" s="26"/>
    </row>
    <row r="56" ht="15.75" customHeight="1">
      <c r="A56" s="27">
        <v>51.0</v>
      </c>
      <c r="B56" s="20">
        <v>9591.0</v>
      </c>
      <c r="C56" s="21">
        <v>9.11724104103E11</v>
      </c>
      <c r="D56" s="22" t="s">
        <v>66</v>
      </c>
      <c r="E56" s="28">
        <v>86.0</v>
      </c>
      <c r="F56" s="29">
        <v>72.0</v>
      </c>
      <c r="G56" s="24">
        <v>72.0</v>
      </c>
      <c r="H56" s="25">
        <v>51.0</v>
      </c>
      <c r="I56" s="24">
        <v>70.0</v>
      </c>
      <c r="J56" s="29"/>
      <c r="K56" s="26"/>
      <c r="L56" s="26"/>
    </row>
    <row r="57" ht="15.75" customHeight="1">
      <c r="A57" s="27">
        <v>52.0</v>
      </c>
      <c r="B57" s="20">
        <v>9918.0</v>
      </c>
      <c r="C57" s="21">
        <v>9.11724104104E11</v>
      </c>
      <c r="D57" s="22" t="s">
        <v>67</v>
      </c>
      <c r="E57" s="28">
        <v>84.0</v>
      </c>
      <c r="F57" s="29">
        <v>83.0</v>
      </c>
      <c r="G57" s="24">
        <v>77.0</v>
      </c>
      <c r="H57" s="25">
        <v>70.0</v>
      </c>
      <c r="I57" s="24">
        <v>75.0</v>
      </c>
      <c r="J57" s="29"/>
      <c r="K57" s="26"/>
      <c r="L57" s="26"/>
    </row>
    <row r="58" ht="15.75" customHeight="1">
      <c r="A58" s="27">
        <v>53.0</v>
      </c>
      <c r="B58" s="20">
        <v>9813.0</v>
      </c>
      <c r="C58" s="21">
        <v>9.11724104105E11</v>
      </c>
      <c r="D58" s="22" t="s">
        <v>68</v>
      </c>
      <c r="E58" s="28">
        <v>11.0</v>
      </c>
      <c r="F58" s="29" t="s">
        <v>27</v>
      </c>
      <c r="G58" s="24">
        <v>3.0</v>
      </c>
      <c r="H58" s="25">
        <v>1.0</v>
      </c>
      <c r="I58" s="24">
        <v>10.0</v>
      </c>
      <c r="J58" s="29"/>
      <c r="K58" s="26"/>
      <c r="L58" s="26"/>
    </row>
    <row r="59" ht="15.75" customHeight="1">
      <c r="A59" s="27">
        <v>54.0</v>
      </c>
      <c r="B59" s="20">
        <v>9593.0</v>
      </c>
      <c r="C59" s="21">
        <v>9.11724104107E11</v>
      </c>
      <c r="D59" s="22" t="s">
        <v>69</v>
      </c>
      <c r="E59" s="28">
        <v>12.0</v>
      </c>
      <c r="F59" s="29">
        <v>0.0</v>
      </c>
      <c r="G59" s="24">
        <v>9.0</v>
      </c>
      <c r="H59" s="25">
        <v>2.0</v>
      </c>
      <c r="I59" s="24">
        <v>10.0</v>
      </c>
      <c r="J59" s="29"/>
      <c r="K59" s="26"/>
      <c r="L59" s="26"/>
    </row>
    <row r="60" ht="15.75" customHeight="1">
      <c r="A60" s="27">
        <v>55.0</v>
      </c>
      <c r="B60" s="20">
        <v>9717.0</v>
      </c>
      <c r="C60" s="21">
        <v>9.11724104109E11</v>
      </c>
      <c r="D60" s="22" t="s">
        <v>70</v>
      </c>
      <c r="E60" s="28">
        <v>76.0</v>
      </c>
      <c r="F60" s="29">
        <v>55.0</v>
      </c>
      <c r="G60" s="24">
        <v>60.0</v>
      </c>
      <c r="H60" s="25">
        <v>32.0</v>
      </c>
      <c r="I60" s="24">
        <v>55.0</v>
      </c>
      <c r="J60" s="29"/>
      <c r="K60" s="26"/>
      <c r="L60" s="26"/>
    </row>
    <row r="61" ht="15.75" customHeight="1">
      <c r="A61" s="27">
        <v>56.0</v>
      </c>
      <c r="B61" s="20">
        <v>9930.0</v>
      </c>
      <c r="C61" s="21">
        <v>9.1172410411E11</v>
      </c>
      <c r="D61" s="22" t="s">
        <v>71</v>
      </c>
      <c r="E61" s="28">
        <v>56.0</v>
      </c>
      <c r="F61" s="29">
        <v>56.0</v>
      </c>
      <c r="G61" s="24">
        <v>62.0</v>
      </c>
      <c r="H61" s="25">
        <v>45.0</v>
      </c>
      <c r="I61" s="24">
        <v>65.0</v>
      </c>
      <c r="J61" s="29"/>
      <c r="K61" s="26"/>
      <c r="L61" s="26"/>
    </row>
    <row r="62" ht="15.75" customHeight="1">
      <c r="A62" s="31">
        <v>57.0</v>
      </c>
      <c r="B62" s="32">
        <v>9800.0</v>
      </c>
      <c r="C62" s="33">
        <v>9.11724104114E11</v>
      </c>
      <c r="D62" s="34" t="s">
        <v>72</v>
      </c>
      <c r="E62" s="28">
        <v>58.0</v>
      </c>
      <c r="F62" s="29">
        <v>50.0</v>
      </c>
      <c r="G62" s="24">
        <v>51.0</v>
      </c>
      <c r="H62" s="25">
        <v>25.0</v>
      </c>
      <c r="I62" s="24">
        <v>55.0</v>
      </c>
      <c r="J62" s="29"/>
      <c r="K62" s="26"/>
      <c r="L62" s="26"/>
    </row>
    <row r="63" ht="15.75" customHeight="1">
      <c r="A63" s="35">
        <v>58.0</v>
      </c>
      <c r="B63" s="36">
        <v>9560.0</v>
      </c>
      <c r="C63" s="37">
        <v>9.11724104115E11</v>
      </c>
      <c r="D63" s="38" t="s">
        <v>73</v>
      </c>
      <c r="E63" s="39">
        <v>83.0</v>
      </c>
      <c r="F63" s="29">
        <v>73.0</v>
      </c>
      <c r="G63" s="24">
        <v>73.0</v>
      </c>
      <c r="H63" s="25">
        <v>50.0</v>
      </c>
      <c r="I63" s="24">
        <v>82.0</v>
      </c>
      <c r="J63" s="29"/>
      <c r="K63" s="26"/>
      <c r="L63" s="26"/>
    </row>
    <row r="64" ht="15.75" customHeight="1">
      <c r="A64" s="40">
        <v>59.0</v>
      </c>
      <c r="B64" s="41">
        <v>9961.0</v>
      </c>
      <c r="C64" s="42">
        <v>9.11724104116E11</v>
      </c>
      <c r="D64" s="43" t="s">
        <v>74</v>
      </c>
      <c r="E64" s="39">
        <v>87.0</v>
      </c>
      <c r="F64" s="29">
        <v>54.0</v>
      </c>
      <c r="G64" s="24">
        <v>66.0</v>
      </c>
      <c r="H64" s="25">
        <v>34.0</v>
      </c>
      <c r="I64" s="24">
        <v>66.0</v>
      </c>
      <c r="J64" s="29"/>
      <c r="K64" s="26"/>
      <c r="L64" s="26"/>
    </row>
    <row r="65" ht="15.75" customHeight="1">
      <c r="A65" s="40">
        <v>60.0</v>
      </c>
      <c r="B65" s="41">
        <v>9929.0</v>
      </c>
      <c r="C65" s="42">
        <v>9.11724104117E11</v>
      </c>
      <c r="D65" s="43" t="s">
        <v>75</v>
      </c>
      <c r="E65" s="39">
        <v>89.0</v>
      </c>
      <c r="F65" s="29">
        <v>77.0</v>
      </c>
      <c r="G65" s="24">
        <v>61.0</v>
      </c>
      <c r="H65" s="25">
        <v>57.0</v>
      </c>
      <c r="I65" s="24">
        <v>81.0</v>
      </c>
      <c r="J65" s="29"/>
      <c r="K65" s="26"/>
      <c r="L65" s="26"/>
    </row>
    <row r="66" ht="15.75" customHeight="1">
      <c r="A66" s="40">
        <v>61.0</v>
      </c>
      <c r="B66" s="41">
        <v>9726.0</v>
      </c>
      <c r="C66" s="42">
        <v>9.1172410412E11</v>
      </c>
      <c r="D66" s="43" t="s">
        <v>76</v>
      </c>
      <c r="E66" s="39">
        <v>55.0</v>
      </c>
      <c r="F66" s="29">
        <v>17.0</v>
      </c>
      <c r="G66" s="24">
        <v>54.0</v>
      </c>
      <c r="H66" s="25">
        <v>50.0</v>
      </c>
      <c r="I66" s="24">
        <v>53.0</v>
      </c>
      <c r="J66" s="29"/>
      <c r="K66" s="26"/>
      <c r="L66" s="26"/>
    </row>
    <row r="67" ht="15.75" customHeight="1">
      <c r="A67" s="40">
        <v>62.0</v>
      </c>
      <c r="B67" s="41">
        <v>10003.0</v>
      </c>
      <c r="C67" s="42">
        <v>9.11724104122E11</v>
      </c>
      <c r="D67" s="43" t="s">
        <v>77</v>
      </c>
      <c r="E67" s="39"/>
      <c r="F67" s="29">
        <v>60.0</v>
      </c>
      <c r="G67" s="24">
        <v>75.0</v>
      </c>
      <c r="H67" s="25">
        <v>50.0</v>
      </c>
      <c r="I67" s="24">
        <v>72.0</v>
      </c>
      <c r="J67" s="29"/>
      <c r="K67" s="26"/>
      <c r="L67" s="26"/>
    </row>
    <row r="68" ht="15.75" customHeight="1">
      <c r="A68" s="40">
        <v>63.0</v>
      </c>
      <c r="B68" s="41">
        <v>9886.0</v>
      </c>
      <c r="C68" s="42">
        <v>9.11724104124E11</v>
      </c>
      <c r="D68" s="43" t="s">
        <v>78</v>
      </c>
      <c r="E68" s="39">
        <v>35.0</v>
      </c>
      <c r="F68" s="29">
        <v>58.0</v>
      </c>
      <c r="G68" s="24">
        <v>42.0</v>
      </c>
      <c r="H68" s="25">
        <v>50.0</v>
      </c>
      <c r="I68" s="24">
        <v>50.0</v>
      </c>
      <c r="J68" s="29"/>
      <c r="K68" s="26"/>
      <c r="L68" s="26"/>
    </row>
    <row r="69" ht="15.75" customHeight="1">
      <c r="A69" s="40">
        <v>64.0</v>
      </c>
      <c r="B69" s="41">
        <v>9695.0</v>
      </c>
      <c r="C69" s="42">
        <v>9.11724104125E11</v>
      </c>
      <c r="D69" s="43" t="s">
        <v>79</v>
      </c>
      <c r="E69" s="39">
        <v>79.0</v>
      </c>
      <c r="F69" s="29">
        <v>62.0</v>
      </c>
      <c r="G69" s="24">
        <v>55.0</v>
      </c>
      <c r="H69" s="25">
        <v>27.0</v>
      </c>
      <c r="I69" s="24">
        <v>52.0</v>
      </c>
      <c r="J69" s="29"/>
      <c r="K69" s="26"/>
      <c r="L69" s="26"/>
    </row>
    <row r="70" ht="15.75" customHeight="1">
      <c r="A70" s="40">
        <v>65.0</v>
      </c>
      <c r="B70" s="41">
        <v>9957.0</v>
      </c>
      <c r="C70" s="42">
        <v>9.11724104126E11</v>
      </c>
      <c r="D70" s="43" t="s">
        <v>80</v>
      </c>
      <c r="E70" s="39">
        <v>51.0</v>
      </c>
      <c r="F70" s="29">
        <v>67.0</v>
      </c>
      <c r="G70" s="24">
        <v>67.0</v>
      </c>
      <c r="H70" s="25">
        <v>53.0</v>
      </c>
      <c r="I70" s="24">
        <v>69.0</v>
      </c>
      <c r="J70" s="29"/>
      <c r="K70" s="26"/>
      <c r="L70" s="26"/>
    </row>
    <row r="71" ht="15.75" customHeight="1">
      <c r="A71" s="40">
        <v>66.0</v>
      </c>
      <c r="B71" s="41">
        <v>10375.0</v>
      </c>
      <c r="C71" s="42"/>
      <c r="D71" s="43" t="s">
        <v>81</v>
      </c>
      <c r="E71" s="39"/>
      <c r="F71" s="29">
        <v>38.0</v>
      </c>
      <c r="G71" s="24">
        <v>32.0</v>
      </c>
      <c r="H71" s="24">
        <v>24.0</v>
      </c>
      <c r="I71" s="24">
        <v>50.0</v>
      </c>
      <c r="J71" s="29"/>
      <c r="K71" s="26"/>
      <c r="L71" s="26"/>
    </row>
    <row r="72" ht="15.75" customHeight="1">
      <c r="A72" s="44">
        <v>67.0</v>
      </c>
      <c r="B72" s="45">
        <v>10256.0</v>
      </c>
      <c r="C72" s="46"/>
      <c r="D72" s="47" t="s">
        <v>82</v>
      </c>
      <c r="E72" s="39">
        <v>40.0</v>
      </c>
      <c r="F72" s="29">
        <v>50.0</v>
      </c>
      <c r="G72" s="24">
        <v>54.0</v>
      </c>
      <c r="H72" s="24">
        <v>27.0</v>
      </c>
      <c r="I72" s="24">
        <v>50.0</v>
      </c>
      <c r="J72" s="29"/>
      <c r="K72" s="26"/>
      <c r="L72" s="26"/>
    </row>
    <row r="73" ht="15.75" customHeight="1">
      <c r="A73" s="48" t="s">
        <v>83</v>
      </c>
      <c r="B73" s="49"/>
      <c r="C73" s="49"/>
      <c r="D73" s="50"/>
      <c r="E73" s="51">
        <v>67.0</v>
      </c>
      <c r="F73" s="52">
        <v>67.0</v>
      </c>
      <c r="G73" s="52">
        <v>67.0</v>
      </c>
      <c r="H73" s="52">
        <v>67.0</v>
      </c>
      <c r="I73" s="52">
        <v>67.0</v>
      </c>
      <c r="J73" s="52"/>
      <c r="K73" s="53"/>
      <c r="L73" s="53"/>
    </row>
    <row r="74" ht="15.75" customHeight="1">
      <c r="A74" s="54" t="s">
        <v>84</v>
      </c>
      <c r="B74" s="55"/>
      <c r="C74" s="55"/>
      <c r="D74" s="56"/>
      <c r="E74" s="57">
        <f t="shared" ref="E74:I74" si="1">E73-E75</f>
        <v>66</v>
      </c>
      <c r="F74" s="58">
        <f t="shared" si="1"/>
        <v>65</v>
      </c>
      <c r="G74" s="58">
        <f t="shared" si="1"/>
        <v>65</v>
      </c>
      <c r="H74" s="58">
        <f t="shared" si="1"/>
        <v>67</v>
      </c>
      <c r="I74" s="58">
        <f t="shared" si="1"/>
        <v>67</v>
      </c>
      <c r="J74" s="58"/>
      <c r="K74" s="53"/>
      <c r="L74" s="53"/>
    </row>
    <row r="75" ht="15.75" customHeight="1">
      <c r="A75" s="54" t="s">
        <v>85</v>
      </c>
      <c r="B75" s="55"/>
      <c r="C75" s="55"/>
      <c r="D75" s="56"/>
      <c r="E75" s="57">
        <f t="shared" ref="E75:I75" si="2">COUNTIF(E6:E72,"AB")</f>
        <v>1</v>
      </c>
      <c r="F75" s="58">
        <f t="shared" si="2"/>
        <v>2</v>
      </c>
      <c r="G75" s="58">
        <f t="shared" si="2"/>
        <v>2</v>
      </c>
      <c r="H75" s="58">
        <f t="shared" si="2"/>
        <v>0</v>
      </c>
      <c r="I75" s="58">
        <f t="shared" si="2"/>
        <v>0</v>
      </c>
      <c r="J75" s="58"/>
      <c r="K75" s="53"/>
      <c r="L75" s="53"/>
    </row>
    <row r="76" ht="15.75" customHeight="1">
      <c r="A76" s="54" t="s">
        <v>86</v>
      </c>
      <c r="B76" s="55"/>
      <c r="C76" s="55"/>
      <c r="D76" s="56"/>
      <c r="E76" s="58">
        <f t="shared" ref="E76:I76" si="3">COUNTIF(E6:E72,"&gt;=50")</f>
        <v>48</v>
      </c>
      <c r="F76" s="58">
        <f t="shared" si="3"/>
        <v>42</v>
      </c>
      <c r="G76" s="58">
        <f t="shared" si="3"/>
        <v>45</v>
      </c>
      <c r="H76" s="58">
        <f t="shared" si="3"/>
        <v>31</v>
      </c>
      <c r="I76" s="58">
        <f t="shared" si="3"/>
        <v>49</v>
      </c>
      <c r="J76" s="58"/>
      <c r="K76" s="53"/>
      <c r="L76" s="53"/>
    </row>
    <row r="77" ht="15.75" customHeight="1">
      <c r="A77" s="54" t="s">
        <v>87</v>
      </c>
      <c r="B77" s="55"/>
      <c r="C77" s="55"/>
      <c r="D77" s="56"/>
      <c r="E77" s="57">
        <f t="shared" ref="E77:I77" si="4">E74-E76</f>
        <v>18</v>
      </c>
      <c r="F77" s="57">
        <f t="shared" si="4"/>
        <v>23</v>
      </c>
      <c r="G77" s="57">
        <f t="shared" si="4"/>
        <v>20</v>
      </c>
      <c r="H77" s="57">
        <f t="shared" si="4"/>
        <v>36</v>
      </c>
      <c r="I77" s="57">
        <f t="shared" si="4"/>
        <v>18</v>
      </c>
      <c r="J77" s="58"/>
      <c r="K77" s="53"/>
      <c r="L77" s="53"/>
    </row>
    <row r="78" ht="15.75" customHeight="1">
      <c r="A78" s="54" t="s">
        <v>88</v>
      </c>
      <c r="B78" s="55"/>
      <c r="C78" s="55"/>
      <c r="D78" s="56"/>
      <c r="E78" s="59">
        <f t="shared" ref="E78:I78" si="5">(E76/E73)*100</f>
        <v>71.64179104</v>
      </c>
      <c r="F78" s="60">
        <f t="shared" si="5"/>
        <v>62.68656716</v>
      </c>
      <c r="G78" s="60">
        <f t="shared" si="5"/>
        <v>67.1641791</v>
      </c>
      <c r="H78" s="60">
        <f t="shared" si="5"/>
        <v>46.26865672</v>
      </c>
      <c r="I78" s="60">
        <f t="shared" si="5"/>
        <v>73.13432836</v>
      </c>
      <c r="J78" s="60"/>
      <c r="K78" s="61"/>
      <c r="L78" s="61"/>
    </row>
    <row r="79" ht="15.75" customHeight="1">
      <c r="A79" s="62" t="s">
        <v>89</v>
      </c>
      <c r="B79" s="55"/>
      <c r="C79" s="55"/>
      <c r="D79" s="56"/>
      <c r="E79" s="63">
        <f t="shared" ref="E79:I79" si="6">COUNTIF(E6:E72,"&lt;=25")</f>
        <v>9</v>
      </c>
      <c r="F79" s="63">
        <f t="shared" si="6"/>
        <v>8</v>
      </c>
      <c r="G79" s="63">
        <f t="shared" si="6"/>
        <v>12</v>
      </c>
      <c r="H79" s="63">
        <f t="shared" si="6"/>
        <v>19</v>
      </c>
      <c r="I79" s="63">
        <f t="shared" si="6"/>
        <v>13</v>
      </c>
      <c r="J79" s="63"/>
      <c r="K79" s="53"/>
      <c r="L79" s="53"/>
    </row>
    <row r="80" ht="15.75" customHeight="1">
      <c r="A80" s="62" t="s">
        <v>90</v>
      </c>
      <c r="B80" s="55"/>
      <c r="C80" s="55"/>
      <c r="D80" s="56"/>
      <c r="E80" s="63">
        <f t="shared" ref="E80:I80" si="7">COUNTIFS(E6:E72, "&gt;25",E6:E72, "&lt;49")</f>
        <v>7</v>
      </c>
      <c r="F80" s="63">
        <f t="shared" si="7"/>
        <v>15</v>
      </c>
      <c r="G80" s="63">
        <f t="shared" si="7"/>
        <v>8</v>
      </c>
      <c r="H80" s="63">
        <f t="shared" si="7"/>
        <v>17</v>
      </c>
      <c r="I80" s="63">
        <f t="shared" si="7"/>
        <v>5</v>
      </c>
      <c r="J80" s="63"/>
      <c r="K80" s="53"/>
      <c r="L80" s="53"/>
    </row>
    <row r="81" ht="15.75" customHeight="1">
      <c r="A81" s="64" t="s">
        <v>91</v>
      </c>
      <c r="B81" s="55"/>
      <c r="C81" s="55"/>
      <c r="D81" s="56"/>
      <c r="E81" s="63">
        <f t="shared" ref="E81:I81" si="8">COUNTIFS(E6:E72, "&gt;=50",E6:E72, "&lt;=55")</f>
        <v>6</v>
      </c>
      <c r="F81" s="63">
        <f t="shared" si="8"/>
        <v>15</v>
      </c>
      <c r="G81" s="63">
        <f t="shared" si="8"/>
        <v>8</v>
      </c>
      <c r="H81" s="63">
        <f t="shared" si="8"/>
        <v>16</v>
      </c>
      <c r="I81" s="63">
        <f t="shared" si="8"/>
        <v>13</v>
      </c>
      <c r="J81" s="63"/>
      <c r="K81" s="53"/>
      <c r="L81" s="53"/>
    </row>
    <row r="82" ht="15.75" customHeight="1">
      <c r="A82" s="64" t="s">
        <v>92</v>
      </c>
      <c r="B82" s="55"/>
      <c r="C82" s="55"/>
      <c r="D82" s="56"/>
      <c r="E82" s="63">
        <f t="shared" ref="E82:I82" si="9">COUNTIFS(E6:E72, "&gt;=56",E6:E72, "&lt;=60")</f>
        <v>3</v>
      </c>
      <c r="F82" s="63">
        <f t="shared" si="9"/>
        <v>8</v>
      </c>
      <c r="G82" s="63">
        <f t="shared" si="9"/>
        <v>6</v>
      </c>
      <c r="H82" s="63">
        <f t="shared" si="9"/>
        <v>4</v>
      </c>
      <c r="I82" s="63">
        <f t="shared" si="9"/>
        <v>2</v>
      </c>
      <c r="J82" s="63"/>
      <c r="K82" s="53"/>
      <c r="L82" s="53"/>
    </row>
    <row r="83" ht="15.75" customHeight="1">
      <c r="A83" s="64" t="s">
        <v>93</v>
      </c>
      <c r="B83" s="55"/>
      <c r="C83" s="55"/>
      <c r="D83" s="56"/>
      <c r="E83" s="63">
        <f t="shared" ref="E83:I83" si="10">COUNTIFS(E6:E72, "&gt;=61",E6:E72, "&lt;=70")</f>
        <v>9</v>
      </c>
      <c r="F83" s="63">
        <f t="shared" si="10"/>
        <v>6</v>
      </c>
      <c r="G83" s="63">
        <f t="shared" si="10"/>
        <v>17</v>
      </c>
      <c r="H83" s="63">
        <f t="shared" si="10"/>
        <v>8</v>
      </c>
      <c r="I83" s="63">
        <f t="shared" si="10"/>
        <v>12</v>
      </c>
      <c r="J83" s="63"/>
      <c r="K83" s="53"/>
      <c r="L83" s="53"/>
    </row>
    <row r="84" ht="15.75" customHeight="1">
      <c r="A84" s="64" t="s">
        <v>94</v>
      </c>
      <c r="B84" s="55"/>
      <c r="C84" s="55"/>
      <c r="D84" s="56"/>
      <c r="E84" s="63">
        <f t="shared" ref="E84:I84" si="11">COUNTIFS(E6:E72, "&gt;=71",E6:E72, "&lt;=80")</f>
        <v>9</v>
      </c>
      <c r="F84" s="63">
        <f t="shared" si="11"/>
        <v>12</v>
      </c>
      <c r="G84" s="63">
        <f t="shared" si="11"/>
        <v>11</v>
      </c>
      <c r="H84" s="63">
        <f t="shared" si="11"/>
        <v>3</v>
      </c>
      <c r="I84" s="63">
        <f t="shared" si="11"/>
        <v>18</v>
      </c>
      <c r="J84" s="63"/>
      <c r="K84" s="53"/>
      <c r="L84" s="53"/>
    </row>
    <row r="85" ht="15.75" customHeight="1">
      <c r="A85" s="64" t="s">
        <v>95</v>
      </c>
      <c r="B85" s="55"/>
      <c r="C85" s="55"/>
      <c r="D85" s="56"/>
      <c r="E85" s="63">
        <f t="shared" ref="E85:I85" si="12">COUNTIFS(E6:E72, "&gt;=81",E6:E72, "&lt;=90")</f>
        <v>17</v>
      </c>
      <c r="F85" s="63">
        <f t="shared" si="12"/>
        <v>1</v>
      </c>
      <c r="G85" s="63">
        <f t="shared" si="12"/>
        <v>3</v>
      </c>
      <c r="H85" s="63">
        <f t="shared" si="12"/>
        <v>0</v>
      </c>
      <c r="I85" s="63">
        <f t="shared" si="12"/>
        <v>4</v>
      </c>
      <c r="J85" s="63"/>
      <c r="K85" s="53"/>
      <c r="L85" s="53"/>
    </row>
    <row r="86" ht="15.75" customHeight="1">
      <c r="A86" s="64" t="s">
        <v>96</v>
      </c>
      <c r="B86" s="55"/>
      <c r="C86" s="55"/>
      <c r="D86" s="56"/>
      <c r="E86" s="65">
        <f t="shared" ref="E86:I86" si="13">COUNTIFS(E6:E72, "&gt;=91")</f>
        <v>4</v>
      </c>
      <c r="F86" s="65">
        <f t="shared" si="13"/>
        <v>0</v>
      </c>
      <c r="G86" s="65">
        <f t="shared" si="13"/>
        <v>0</v>
      </c>
      <c r="H86" s="65">
        <f t="shared" si="13"/>
        <v>0</v>
      </c>
      <c r="I86" s="65">
        <f t="shared" si="13"/>
        <v>0</v>
      </c>
      <c r="J86" s="66"/>
      <c r="K86" s="67"/>
      <c r="L86" s="67"/>
    </row>
    <row r="87" ht="15.7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</row>
    <row r="1001" ht="15.75" customHeight="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</row>
    <row r="1002" ht="15.75" customHeight="1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</row>
  </sheetData>
  <mergeCells count="19">
    <mergeCell ref="A3:A5"/>
    <mergeCell ref="B3:B5"/>
    <mergeCell ref="C3:C5"/>
    <mergeCell ref="D3:D5"/>
    <mergeCell ref="E3:J3"/>
    <mergeCell ref="A73:D73"/>
    <mergeCell ref="A74:D74"/>
    <mergeCell ref="A82:D82"/>
    <mergeCell ref="A83:D83"/>
    <mergeCell ref="A84:D84"/>
    <mergeCell ref="A85:D85"/>
    <mergeCell ref="A86:D86"/>
    <mergeCell ref="A75:D75"/>
    <mergeCell ref="A76:D76"/>
    <mergeCell ref="A77:D77"/>
    <mergeCell ref="A78:D78"/>
    <mergeCell ref="A79:D79"/>
    <mergeCell ref="A80:D80"/>
    <mergeCell ref="A81:D81"/>
  </mergeCells>
  <conditionalFormatting sqref="G6:I72">
    <cfRule type="expression" dxfId="0" priority="1">
      <formula>G6&gt;=50</formula>
    </cfRule>
  </conditionalFormatting>
  <conditionalFormatting sqref="G6:I72">
    <cfRule type="expression" dxfId="1" priority="2">
      <formula>G6&lt;50</formula>
    </cfRule>
  </conditionalFormatting>
  <conditionalFormatting sqref="G6">
    <cfRule type="containsText" dxfId="2" priority="3" operator="containsText" text="AB">
      <formula>NOT(ISERROR(SEARCH(("AB"),(G6))))</formula>
    </cfRule>
  </conditionalFormatting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8.63"/>
    <col customWidth="1" min="3" max="3" width="18.25"/>
    <col customWidth="1" min="4" max="4" width="20.0"/>
    <col customWidth="1" min="5" max="9" width="9.5"/>
  </cols>
  <sheetData>
    <row r="1" ht="15.75" customHeight="1">
      <c r="A1" s="68"/>
      <c r="B1" s="68"/>
      <c r="C1" s="69"/>
      <c r="E1" s="70"/>
      <c r="F1" s="71"/>
      <c r="I1" s="71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</row>
    <row r="2" ht="15.75" customHeight="1">
      <c r="A2" s="73" t="s">
        <v>0</v>
      </c>
      <c r="B2" s="74" t="s">
        <v>1</v>
      </c>
      <c r="C2" s="75" t="s">
        <v>97</v>
      </c>
      <c r="D2" s="74" t="s">
        <v>3</v>
      </c>
      <c r="E2" s="76"/>
      <c r="F2" s="7"/>
      <c r="G2" s="7"/>
      <c r="H2" s="7"/>
      <c r="I2" s="7"/>
      <c r="J2" s="8"/>
      <c r="K2" s="77"/>
      <c r="M2" s="78"/>
      <c r="N2" s="78"/>
      <c r="O2" s="78"/>
      <c r="P2" s="78"/>
      <c r="Q2" s="79"/>
      <c r="R2" s="80"/>
      <c r="S2" s="80"/>
      <c r="T2" s="80"/>
      <c r="U2" s="80"/>
      <c r="V2" s="81"/>
      <c r="W2" s="79"/>
      <c r="X2" s="80"/>
      <c r="Y2" s="80"/>
      <c r="Z2" s="80"/>
      <c r="AA2" s="80"/>
      <c r="AB2" s="81"/>
      <c r="AC2" s="79"/>
      <c r="AD2" s="80"/>
      <c r="AE2" s="81"/>
    </row>
    <row r="3" ht="15.75" customHeight="1">
      <c r="A3" s="82"/>
      <c r="B3" s="82"/>
      <c r="C3" s="82"/>
      <c r="D3" s="82"/>
      <c r="E3" s="83" t="s">
        <v>5</v>
      </c>
      <c r="F3" s="84" t="s">
        <v>6</v>
      </c>
      <c r="G3" s="84" t="s">
        <v>7</v>
      </c>
      <c r="H3" s="84" t="s">
        <v>8</v>
      </c>
      <c r="I3" s="84" t="s">
        <v>9</v>
      </c>
      <c r="J3" s="84"/>
      <c r="K3" s="77"/>
      <c r="M3" s="78"/>
      <c r="N3" s="78"/>
      <c r="O3" s="85"/>
      <c r="P3" s="78"/>
      <c r="Q3" s="78"/>
      <c r="R3" s="78"/>
      <c r="S3" s="78"/>
      <c r="T3" s="78"/>
      <c r="U3" s="85"/>
      <c r="V3" s="78"/>
      <c r="W3" s="86"/>
      <c r="X3" s="86"/>
      <c r="Y3" s="86"/>
      <c r="Z3" s="87"/>
      <c r="AA3" s="87"/>
      <c r="AB3" s="87"/>
      <c r="AC3" s="86"/>
      <c r="AD3" s="86"/>
      <c r="AE3" s="87"/>
    </row>
    <row r="4" ht="15.75" customHeight="1">
      <c r="A4" s="88"/>
      <c r="B4" s="88"/>
      <c r="C4" s="88"/>
      <c r="D4" s="88"/>
      <c r="E4" s="89" t="s">
        <v>10</v>
      </c>
      <c r="F4" s="90" t="s">
        <v>11</v>
      </c>
      <c r="G4" s="90" t="s">
        <v>12</v>
      </c>
      <c r="H4" s="90" t="s">
        <v>13</v>
      </c>
      <c r="I4" s="90" t="s">
        <v>14</v>
      </c>
      <c r="J4" s="90"/>
      <c r="K4" s="77"/>
      <c r="M4" s="78"/>
      <c r="N4" s="78"/>
      <c r="O4" s="85"/>
      <c r="P4" s="78"/>
      <c r="Q4" s="78"/>
      <c r="R4" s="78"/>
      <c r="S4" s="78"/>
      <c r="T4" s="78"/>
      <c r="U4" s="85"/>
      <c r="V4" s="78"/>
      <c r="W4" s="85"/>
      <c r="X4" s="78"/>
      <c r="Y4" s="78"/>
      <c r="Z4" s="78"/>
      <c r="AA4" s="85"/>
      <c r="AB4" s="78"/>
      <c r="AC4" s="78"/>
      <c r="AD4" s="78"/>
      <c r="AE4" s="78"/>
    </row>
    <row r="5" ht="15.75" customHeight="1">
      <c r="A5" s="91">
        <v>1.0</v>
      </c>
      <c r="B5" s="91">
        <v>9659.0</v>
      </c>
      <c r="C5" s="92">
        <v>9.11724104004E11</v>
      </c>
      <c r="D5" s="93" t="s">
        <v>98</v>
      </c>
      <c r="E5" s="94">
        <v>87.0</v>
      </c>
      <c r="F5" s="94"/>
      <c r="G5" s="77"/>
      <c r="H5" s="95">
        <v>80.0</v>
      </c>
      <c r="I5" s="94">
        <v>69.0</v>
      </c>
      <c r="J5" s="77"/>
      <c r="K5" s="77"/>
      <c r="M5" s="96"/>
      <c r="N5" s="97"/>
      <c r="O5" s="97"/>
      <c r="P5" s="96"/>
      <c r="Q5" s="86"/>
      <c r="R5" s="97"/>
      <c r="S5" s="97"/>
      <c r="T5" s="97"/>
      <c r="U5" s="97"/>
      <c r="V5" s="97"/>
      <c r="W5" s="86"/>
      <c r="X5" s="86"/>
      <c r="Y5" s="97"/>
      <c r="Z5" s="96"/>
      <c r="AA5" s="86"/>
      <c r="AB5" s="96"/>
      <c r="AC5" s="97"/>
      <c r="AD5" s="97"/>
      <c r="AE5" s="96"/>
    </row>
    <row r="6" ht="15.75" customHeight="1">
      <c r="A6" s="91">
        <v>2.0</v>
      </c>
      <c r="B6" s="91">
        <v>9535.0</v>
      </c>
      <c r="C6" s="92">
        <v>9.11724104006E11</v>
      </c>
      <c r="D6" s="93" t="s">
        <v>99</v>
      </c>
      <c r="E6" s="94">
        <v>74.0</v>
      </c>
      <c r="F6" s="98"/>
      <c r="G6" s="77"/>
      <c r="H6" s="95">
        <v>54.0</v>
      </c>
      <c r="I6" s="94">
        <v>61.0</v>
      </c>
      <c r="J6" s="77"/>
      <c r="K6" s="77"/>
      <c r="M6" s="96"/>
      <c r="N6" s="97"/>
      <c r="O6" s="97"/>
      <c r="P6" s="96"/>
      <c r="Q6" s="86"/>
      <c r="R6" s="97"/>
      <c r="S6" s="97"/>
      <c r="T6" s="97"/>
      <c r="U6" s="97"/>
      <c r="V6" s="97"/>
      <c r="W6" s="86"/>
      <c r="X6" s="86"/>
      <c r="Y6" s="97"/>
      <c r="Z6" s="96"/>
      <c r="AA6" s="86"/>
      <c r="AB6" s="96"/>
      <c r="AC6" s="97"/>
      <c r="AD6" s="97"/>
      <c r="AE6" s="99"/>
    </row>
    <row r="7" ht="15.75" customHeight="1">
      <c r="A7" s="91">
        <v>3.0</v>
      </c>
      <c r="B7" s="91">
        <v>9861.0</v>
      </c>
      <c r="C7" s="92">
        <v>9.11724104007E11</v>
      </c>
      <c r="D7" s="93" t="s">
        <v>100</v>
      </c>
      <c r="E7" s="94">
        <v>79.0</v>
      </c>
      <c r="F7" s="94"/>
      <c r="G7" s="77"/>
      <c r="H7" s="95">
        <v>50.0</v>
      </c>
      <c r="I7" s="94">
        <v>76.0</v>
      </c>
      <c r="J7" s="77"/>
      <c r="K7" s="77"/>
      <c r="M7" s="99"/>
      <c r="N7" s="97"/>
      <c r="O7" s="97"/>
      <c r="P7" s="99"/>
      <c r="Q7" s="86"/>
      <c r="R7" s="97"/>
      <c r="S7" s="97"/>
      <c r="T7" s="97"/>
      <c r="U7" s="97"/>
      <c r="V7" s="97"/>
      <c r="W7" s="86"/>
      <c r="X7" s="86"/>
      <c r="Y7" s="97"/>
      <c r="Z7" s="96"/>
      <c r="AA7" s="86"/>
      <c r="AB7" s="96"/>
      <c r="AC7" s="97"/>
      <c r="AD7" s="97"/>
      <c r="AE7" s="96"/>
    </row>
    <row r="8" ht="15.75" customHeight="1">
      <c r="A8" s="91">
        <v>4.0</v>
      </c>
      <c r="B8" s="91">
        <v>9803.0</v>
      </c>
      <c r="C8" s="92">
        <v>9.1172410401E11</v>
      </c>
      <c r="D8" s="93" t="s">
        <v>101</v>
      </c>
      <c r="E8" s="94">
        <v>28.0</v>
      </c>
      <c r="F8" s="94"/>
      <c r="G8" s="77"/>
      <c r="H8" s="95">
        <v>66.0</v>
      </c>
      <c r="I8" s="94">
        <v>72.0</v>
      </c>
      <c r="J8" s="77"/>
      <c r="K8" s="77"/>
      <c r="M8" s="96"/>
      <c r="N8" s="97"/>
      <c r="O8" s="97"/>
      <c r="P8" s="96"/>
      <c r="Q8" s="86"/>
      <c r="R8" s="97"/>
      <c r="S8" s="97"/>
      <c r="T8" s="97"/>
      <c r="U8" s="97"/>
      <c r="V8" s="97"/>
      <c r="W8" s="86"/>
      <c r="X8" s="86"/>
      <c r="Y8" s="97"/>
      <c r="Z8" s="96"/>
      <c r="AA8" s="86"/>
      <c r="AB8" s="96"/>
      <c r="AC8" s="97"/>
      <c r="AD8" s="97"/>
      <c r="AE8" s="96"/>
    </row>
    <row r="9" ht="15.75" customHeight="1">
      <c r="A9" s="91">
        <v>5.0</v>
      </c>
      <c r="B9" s="91">
        <v>9945.0</v>
      </c>
      <c r="C9" s="92">
        <v>9.11724104012E11</v>
      </c>
      <c r="D9" s="93" t="s">
        <v>102</v>
      </c>
      <c r="E9" s="94">
        <v>80.0</v>
      </c>
      <c r="F9" s="94"/>
      <c r="G9" s="77"/>
      <c r="H9" s="95">
        <v>64.0</v>
      </c>
      <c r="I9" s="94">
        <v>69.0</v>
      </c>
      <c r="J9" s="77"/>
      <c r="K9" s="77"/>
      <c r="M9" s="96"/>
      <c r="N9" s="97"/>
      <c r="O9" s="97"/>
      <c r="P9" s="96"/>
      <c r="Q9" s="86"/>
      <c r="R9" s="97"/>
      <c r="S9" s="97"/>
      <c r="T9" s="97"/>
      <c r="U9" s="97"/>
      <c r="V9" s="97"/>
      <c r="W9" s="86"/>
      <c r="X9" s="86"/>
      <c r="Y9" s="97"/>
      <c r="Z9" s="96"/>
      <c r="AA9" s="86"/>
      <c r="AB9" s="96"/>
      <c r="AC9" s="97"/>
      <c r="AD9" s="97"/>
      <c r="AE9" s="96"/>
    </row>
    <row r="10" ht="15.75" customHeight="1">
      <c r="A10" s="91">
        <v>6.0</v>
      </c>
      <c r="B10" s="91">
        <v>9543.0</v>
      </c>
      <c r="C10" s="92">
        <v>9.11724104016E11</v>
      </c>
      <c r="D10" s="93" t="s">
        <v>103</v>
      </c>
      <c r="E10" s="94">
        <v>62.0</v>
      </c>
      <c r="F10" s="94"/>
      <c r="G10" s="77"/>
      <c r="H10" s="95">
        <v>65.0</v>
      </c>
      <c r="I10" s="94">
        <v>55.0</v>
      </c>
      <c r="J10" s="77"/>
      <c r="K10" s="77"/>
      <c r="M10" s="96"/>
      <c r="N10" s="97"/>
      <c r="O10" s="97"/>
      <c r="P10" s="96"/>
      <c r="Q10" s="86"/>
      <c r="R10" s="97"/>
      <c r="S10" s="97"/>
      <c r="T10" s="97"/>
      <c r="U10" s="97"/>
      <c r="V10" s="97"/>
      <c r="W10" s="86"/>
      <c r="X10" s="86"/>
      <c r="Y10" s="97"/>
      <c r="Z10" s="96"/>
      <c r="AA10" s="86"/>
      <c r="AB10" s="96"/>
      <c r="AC10" s="97"/>
      <c r="AD10" s="97"/>
      <c r="AE10" s="96"/>
    </row>
    <row r="11" ht="15.75" customHeight="1">
      <c r="A11" s="91">
        <v>7.0</v>
      </c>
      <c r="B11" s="91">
        <v>10000.0</v>
      </c>
      <c r="C11" s="92">
        <v>9.11724104017E11</v>
      </c>
      <c r="D11" s="93" t="s">
        <v>104</v>
      </c>
      <c r="E11" s="94">
        <v>67.0</v>
      </c>
      <c r="F11" s="94"/>
      <c r="G11" s="77"/>
      <c r="H11" s="95">
        <v>56.0</v>
      </c>
      <c r="I11" s="94">
        <v>64.0</v>
      </c>
      <c r="J11" s="77"/>
      <c r="K11" s="77"/>
      <c r="M11" s="96"/>
      <c r="N11" s="97"/>
      <c r="O11" s="97"/>
      <c r="P11" s="96"/>
      <c r="Q11" s="86"/>
      <c r="R11" s="97"/>
      <c r="S11" s="97"/>
      <c r="T11" s="97"/>
      <c r="U11" s="97"/>
      <c r="V11" s="97"/>
      <c r="W11" s="86"/>
      <c r="X11" s="86"/>
      <c r="Y11" s="97"/>
      <c r="Z11" s="96"/>
      <c r="AA11" s="86"/>
      <c r="AB11" s="96"/>
      <c r="AC11" s="97"/>
      <c r="AD11" s="97"/>
      <c r="AE11" s="96"/>
    </row>
    <row r="12" ht="15.75" customHeight="1">
      <c r="A12" s="91">
        <v>8.0</v>
      </c>
      <c r="B12" s="91">
        <v>9671.0</v>
      </c>
      <c r="C12" s="92">
        <v>9.11724104019E11</v>
      </c>
      <c r="D12" s="93" t="s">
        <v>105</v>
      </c>
      <c r="E12" s="94">
        <v>83.0</v>
      </c>
      <c r="F12" s="94"/>
      <c r="G12" s="77"/>
      <c r="H12" s="95">
        <v>53.0</v>
      </c>
      <c r="I12" s="94">
        <v>58.0</v>
      </c>
      <c r="J12" s="77"/>
      <c r="K12" s="77"/>
      <c r="M12" s="96"/>
      <c r="N12" s="97"/>
      <c r="O12" s="97"/>
      <c r="P12" s="96"/>
      <c r="Q12" s="86"/>
      <c r="R12" s="97"/>
      <c r="S12" s="97"/>
      <c r="T12" s="97"/>
      <c r="U12" s="97"/>
      <c r="V12" s="97"/>
      <c r="W12" s="86"/>
      <c r="X12" s="86"/>
      <c r="Y12" s="97"/>
      <c r="Z12" s="96"/>
      <c r="AA12" s="86"/>
      <c r="AB12" s="96"/>
      <c r="AC12" s="97"/>
      <c r="AD12" s="97"/>
      <c r="AE12" s="96"/>
    </row>
    <row r="13" ht="15.75" customHeight="1">
      <c r="A13" s="91">
        <v>9.0</v>
      </c>
      <c r="B13" s="91">
        <v>9786.0</v>
      </c>
      <c r="C13" s="92">
        <v>9.11724104023E11</v>
      </c>
      <c r="D13" s="93" t="s">
        <v>106</v>
      </c>
      <c r="E13" s="94">
        <v>22.0</v>
      </c>
      <c r="F13" s="94"/>
      <c r="G13" s="77"/>
      <c r="H13" s="95">
        <v>40.0</v>
      </c>
      <c r="I13" s="94">
        <v>37.0</v>
      </c>
      <c r="J13" s="77"/>
      <c r="K13" s="77"/>
      <c r="M13" s="96"/>
      <c r="N13" s="97"/>
      <c r="O13" s="97"/>
      <c r="P13" s="99"/>
      <c r="Q13" s="86"/>
      <c r="R13" s="97"/>
      <c r="S13" s="97"/>
      <c r="T13" s="97"/>
      <c r="U13" s="97"/>
      <c r="V13" s="97"/>
      <c r="W13" s="86"/>
      <c r="X13" s="86"/>
      <c r="Y13" s="97"/>
      <c r="Z13" s="96"/>
      <c r="AA13" s="86"/>
      <c r="AB13" s="96"/>
      <c r="AC13" s="97"/>
      <c r="AD13" s="97"/>
      <c r="AE13" s="99"/>
    </row>
    <row r="14" ht="15.75" customHeight="1">
      <c r="A14" s="91">
        <v>10.0</v>
      </c>
      <c r="B14" s="91">
        <v>9552.0</v>
      </c>
      <c r="C14" s="92">
        <v>9.11724104026E11</v>
      </c>
      <c r="D14" s="93" t="s">
        <v>107</v>
      </c>
      <c r="E14" s="94">
        <v>51.0</v>
      </c>
      <c r="F14" s="94"/>
      <c r="G14" s="77"/>
      <c r="H14" s="95">
        <v>19.0</v>
      </c>
      <c r="I14" s="94">
        <v>50.0</v>
      </c>
      <c r="J14" s="77"/>
      <c r="K14" s="77"/>
      <c r="M14" s="99"/>
      <c r="N14" s="97"/>
      <c r="O14" s="97"/>
      <c r="P14" s="99"/>
      <c r="Q14" s="86"/>
      <c r="R14" s="97"/>
      <c r="S14" s="97"/>
      <c r="T14" s="97"/>
      <c r="U14" s="97"/>
      <c r="V14" s="97"/>
      <c r="W14" s="86"/>
      <c r="X14" s="86"/>
      <c r="Y14" s="97"/>
      <c r="Z14" s="96"/>
      <c r="AA14" s="86"/>
      <c r="AB14" s="96"/>
      <c r="AC14" s="97"/>
      <c r="AD14" s="97"/>
      <c r="AE14" s="96"/>
    </row>
    <row r="15" ht="15.75" customHeight="1">
      <c r="A15" s="91">
        <v>11.0</v>
      </c>
      <c r="B15" s="91">
        <v>9883.0</v>
      </c>
      <c r="C15" s="92">
        <v>9.11724104027E11</v>
      </c>
      <c r="D15" s="93" t="s">
        <v>108</v>
      </c>
      <c r="E15" s="94">
        <v>45.0</v>
      </c>
      <c r="F15" s="94"/>
      <c r="G15" s="77"/>
      <c r="H15" s="95">
        <v>26.0</v>
      </c>
      <c r="I15" s="94">
        <v>37.0</v>
      </c>
      <c r="J15" s="77"/>
      <c r="K15" s="77"/>
      <c r="M15" s="96"/>
      <c r="N15" s="97"/>
      <c r="O15" s="97"/>
      <c r="P15" s="96"/>
      <c r="Q15" s="86"/>
      <c r="R15" s="97"/>
      <c r="S15" s="97"/>
      <c r="T15" s="97"/>
      <c r="U15" s="97"/>
      <c r="V15" s="97"/>
      <c r="W15" s="86"/>
      <c r="X15" s="86"/>
      <c r="Y15" s="97"/>
      <c r="Z15" s="96"/>
      <c r="AA15" s="86"/>
      <c r="AB15" s="96"/>
      <c r="AC15" s="97"/>
      <c r="AD15" s="97"/>
      <c r="AE15" s="96"/>
    </row>
    <row r="16" ht="15.75" customHeight="1">
      <c r="A16" s="91">
        <v>12.0</v>
      </c>
      <c r="B16" s="91">
        <v>9816.0</v>
      </c>
      <c r="C16" s="92">
        <v>9.11724104028E11</v>
      </c>
      <c r="D16" s="93" t="s">
        <v>109</v>
      </c>
      <c r="E16" s="94">
        <v>17.0</v>
      </c>
      <c r="F16" s="94"/>
      <c r="G16" s="77"/>
      <c r="H16" s="95">
        <v>21.0</v>
      </c>
      <c r="I16" s="94">
        <v>33.0</v>
      </c>
      <c r="J16" s="77"/>
      <c r="K16" s="77"/>
      <c r="M16" s="96"/>
      <c r="N16" s="97"/>
      <c r="O16" s="97"/>
      <c r="P16" s="96"/>
      <c r="Q16" s="86"/>
      <c r="R16" s="97"/>
      <c r="S16" s="97"/>
      <c r="T16" s="97"/>
      <c r="U16" s="97"/>
      <c r="V16" s="97"/>
      <c r="W16" s="86"/>
      <c r="X16" s="86"/>
      <c r="Y16" s="97"/>
      <c r="Z16" s="99"/>
      <c r="AA16" s="86"/>
      <c r="AB16" s="96"/>
      <c r="AC16" s="97"/>
      <c r="AD16" s="97"/>
      <c r="AE16" s="96"/>
    </row>
    <row r="17" ht="15.75" customHeight="1">
      <c r="A17" s="91">
        <v>13.0</v>
      </c>
      <c r="B17" s="91">
        <v>9785.0</v>
      </c>
      <c r="C17" s="92">
        <v>9.1172410403E11</v>
      </c>
      <c r="D17" s="93" t="s">
        <v>110</v>
      </c>
      <c r="E17" s="94">
        <v>19.0</v>
      </c>
      <c r="F17" s="94"/>
      <c r="G17" s="77"/>
      <c r="H17" s="95">
        <v>15.0</v>
      </c>
      <c r="I17" s="94">
        <v>42.0</v>
      </c>
      <c r="J17" s="77"/>
      <c r="K17" s="77"/>
      <c r="M17" s="96"/>
      <c r="N17" s="97"/>
      <c r="O17" s="97"/>
      <c r="P17" s="96"/>
      <c r="Q17" s="86"/>
      <c r="R17" s="97"/>
      <c r="S17" s="97"/>
      <c r="T17" s="97"/>
      <c r="U17" s="97"/>
      <c r="V17" s="97"/>
      <c r="W17" s="86"/>
      <c r="X17" s="86"/>
      <c r="Y17" s="97"/>
      <c r="Z17" s="96"/>
      <c r="AA17" s="86"/>
      <c r="AB17" s="96"/>
      <c r="AC17" s="97"/>
      <c r="AD17" s="97"/>
      <c r="AE17" s="96"/>
    </row>
    <row r="18" ht="15.75" customHeight="1">
      <c r="A18" s="91">
        <v>14.0</v>
      </c>
      <c r="B18" s="91">
        <v>9724.0</v>
      </c>
      <c r="C18" s="92">
        <v>9.11724104029E11</v>
      </c>
      <c r="D18" s="93" t="s">
        <v>111</v>
      </c>
      <c r="E18" s="94">
        <v>77.0</v>
      </c>
      <c r="F18" s="94"/>
      <c r="G18" s="77"/>
      <c r="H18" s="95">
        <v>72.0</v>
      </c>
      <c r="I18" s="94">
        <v>60.0</v>
      </c>
      <c r="J18" s="77"/>
      <c r="K18" s="77"/>
      <c r="M18" s="96"/>
      <c r="N18" s="97"/>
      <c r="O18" s="97"/>
      <c r="P18" s="96"/>
      <c r="Q18" s="86"/>
      <c r="R18" s="97"/>
      <c r="S18" s="97"/>
      <c r="T18" s="97"/>
      <c r="U18" s="97"/>
      <c r="V18" s="97"/>
      <c r="W18" s="86"/>
      <c r="X18" s="86"/>
      <c r="Y18" s="97"/>
      <c r="Z18" s="99"/>
      <c r="AA18" s="86"/>
      <c r="AB18" s="99"/>
      <c r="AC18" s="97"/>
      <c r="AD18" s="97"/>
      <c r="AE18" s="99"/>
    </row>
    <row r="19" ht="15.75" customHeight="1">
      <c r="A19" s="91">
        <v>15.0</v>
      </c>
      <c r="B19" s="91">
        <v>9681.0</v>
      </c>
      <c r="C19" s="92">
        <v>9.11724104032E11</v>
      </c>
      <c r="D19" s="93" t="s">
        <v>112</v>
      </c>
      <c r="E19" s="94">
        <v>87.0</v>
      </c>
      <c r="F19" s="94"/>
      <c r="G19" s="77"/>
      <c r="H19" s="95">
        <v>61.0</v>
      </c>
      <c r="I19" s="94">
        <v>81.0</v>
      </c>
      <c r="J19" s="77"/>
      <c r="K19" s="77"/>
      <c r="M19" s="96"/>
      <c r="N19" s="97"/>
      <c r="O19" s="97"/>
      <c r="P19" s="96"/>
      <c r="Q19" s="86"/>
      <c r="R19" s="97"/>
      <c r="S19" s="97"/>
      <c r="T19" s="97"/>
      <c r="U19" s="97"/>
      <c r="V19" s="97"/>
      <c r="W19" s="86"/>
      <c r="X19" s="86"/>
      <c r="Y19" s="97"/>
      <c r="Z19" s="96"/>
      <c r="AA19" s="86"/>
      <c r="AB19" s="96"/>
      <c r="AC19" s="97"/>
      <c r="AD19" s="97"/>
      <c r="AE19" s="96"/>
    </row>
    <row r="20" ht="15.75" customHeight="1">
      <c r="A20" s="91">
        <v>16.0</v>
      </c>
      <c r="B20" s="91">
        <v>9605.0</v>
      </c>
      <c r="C20" s="92">
        <v>9.11724104034E11</v>
      </c>
      <c r="D20" s="93" t="s">
        <v>113</v>
      </c>
      <c r="E20" s="94">
        <v>83.0</v>
      </c>
      <c r="F20" s="94"/>
      <c r="G20" s="77"/>
      <c r="H20" s="95">
        <v>52.0</v>
      </c>
      <c r="I20" s="94">
        <v>76.0</v>
      </c>
      <c r="J20" s="77"/>
      <c r="K20" s="77"/>
      <c r="M20" s="96"/>
      <c r="N20" s="97"/>
      <c r="O20" s="97"/>
      <c r="P20" s="96"/>
      <c r="Q20" s="86"/>
      <c r="R20" s="97"/>
      <c r="S20" s="97"/>
      <c r="T20" s="97"/>
      <c r="U20" s="97"/>
      <c r="V20" s="97"/>
      <c r="W20" s="86"/>
      <c r="X20" s="86"/>
      <c r="Y20" s="97"/>
      <c r="Z20" s="99"/>
      <c r="AA20" s="86"/>
      <c r="AB20" s="99"/>
      <c r="AC20" s="97"/>
      <c r="AD20" s="97"/>
      <c r="AE20" s="96"/>
    </row>
    <row r="21" ht="15.75" customHeight="1">
      <c r="A21" s="91">
        <v>17.0</v>
      </c>
      <c r="B21" s="91">
        <v>9924.0</v>
      </c>
      <c r="C21" s="92">
        <v>9.11724104035E11</v>
      </c>
      <c r="D21" s="93" t="s">
        <v>114</v>
      </c>
      <c r="E21" s="94">
        <v>92.0</v>
      </c>
      <c r="F21" s="94"/>
      <c r="G21" s="77"/>
      <c r="H21" s="95">
        <v>66.0</v>
      </c>
      <c r="I21" s="94">
        <v>80.0</v>
      </c>
      <c r="J21" s="77"/>
      <c r="K21" s="77"/>
      <c r="M21" s="96"/>
      <c r="N21" s="97"/>
      <c r="O21" s="97"/>
      <c r="P21" s="96"/>
      <c r="Q21" s="86"/>
      <c r="R21" s="97"/>
      <c r="S21" s="97"/>
      <c r="T21" s="97"/>
      <c r="U21" s="97"/>
      <c r="V21" s="97"/>
      <c r="W21" s="86"/>
      <c r="X21" s="86"/>
      <c r="Y21" s="97"/>
      <c r="Z21" s="96"/>
      <c r="AA21" s="86"/>
      <c r="AB21" s="99"/>
      <c r="AC21" s="97"/>
      <c r="AD21" s="97"/>
      <c r="AE21" s="96"/>
    </row>
    <row r="22" ht="15.75" customHeight="1">
      <c r="A22" s="91">
        <v>18.0</v>
      </c>
      <c r="B22" s="91">
        <v>9960.0</v>
      </c>
      <c r="C22" s="92">
        <v>9.11724104038E11</v>
      </c>
      <c r="D22" s="93" t="s">
        <v>115</v>
      </c>
      <c r="E22" s="94">
        <v>86.0</v>
      </c>
      <c r="F22" s="94"/>
      <c r="G22" s="77"/>
      <c r="H22" s="95">
        <v>57.0</v>
      </c>
      <c r="I22" s="94">
        <v>52.0</v>
      </c>
      <c r="J22" s="77"/>
      <c r="K22" s="77"/>
      <c r="M22" s="96"/>
      <c r="N22" s="97"/>
      <c r="O22" s="97"/>
      <c r="P22" s="96"/>
      <c r="Q22" s="86"/>
      <c r="R22" s="97"/>
      <c r="S22" s="97"/>
      <c r="T22" s="97"/>
      <c r="U22" s="97"/>
      <c r="V22" s="97"/>
      <c r="W22" s="86"/>
      <c r="X22" s="86"/>
      <c r="Y22" s="97"/>
      <c r="Z22" s="96"/>
      <c r="AA22" s="86"/>
      <c r="AB22" s="96"/>
      <c r="AC22" s="97"/>
      <c r="AD22" s="97"/>
      <c r="AE22" s="96"/>
    </row>
    <row r="23" ht="15.75" customHeight="1">
      <c r="A23" s="91">
        <v>19.0</v>
      </c>
      <c r="B23" s="91">
        <v>9846.0</v>
      </c>
      <c r="C23" s="92">
        <v>9.11724104042E11</v>
      </c>
      <c r="D23" s="93" t="s">
        <v>116</v>
      </c>
      <c r="E23" s="94">
        <v>80.0</v>
      </c>
      <c r="F23" s="94"/>
      <c r="G23" s="77"/>
      <c r="H23" s="95">
        <v>80.0</v>
      </c>
      <c r="I23" s="94">
        <v>80.0</v>
      </c>
      <c r="J23" s="77"/>
      <c r="K23" s="77"/>
      <c r="M23" s="96"/>
      <c r="N23" s="97"/>
      <c r="O23" s="97"/>
      <c r="P23" s="96"/>
      <c r="Q23" s="86"/>
      <c r="R23" s="97"/>
      <c r="S23" s="97"/>
      <c r="T23" s="97"/>
      <c r="U23" s="97"/>
      <c r="V23" s="97"/>
      <c r="W23" s="86"/>
      <c r="X23" s="86"/>
      <c r="Y23" s="97"/>
      <c r="Z23" s="96"/>
      <c r="AA23" s="86"/>
      <c r="AB23" s="96"/>
      <c r="AC23" s="97"/>
      <c r="AD23" s="97"/>
      <c r="AE23" s="96"/>
    </row>
    <row r="24" ht="15.75" customHeight="1">
      <c r="A24" s="91">
        <v>20.0</v>
      </c>
      <c r="B24" s="91">
        <v>9664.0</v>
      </c>
      <c r="C24" s="92">
        <v>9.11724104047E11</v>
      </c>
      <c r="D24" s="93" t="s">
        <v>117</v>
      </c>
      <c r="E24" s="94">
        <v>60.0</v>
      </c>
      <c r="F24" s="94"/>
      <c r="G24" s="77"/>
      <c r="H24" s="95">
        <v>51.0</v>
      </c>
      <c r="I24" s="94">
        <v>65.0</v>
      </c>
      <c r="J24" s="77"/>
      <c r="K24" s="77"/>
      <c r="M24" s="96"/>
      <c r="N24" s="97"/>
      <c r="O24" s="97"/>
      <c r="P24" s="99"/>
      <c r="Q24" s="86"/>
      <c r="R24" s="97"/>
      <c r="S24" s="97"/>
      <c r="T24" s="97"/>
      <c r="U24" s="97"/>
      <c r="V24" s="97"/>
      <c r="W24" s="86"/>
      <c r="X24" s="86"/>
      <c r="Y24" s="97"/>
      <c r="Z24" s="99"/>
      <c r="AA24" s="86"/>
      <c r="AB24" s="96"/>
      <c r="AC24" s="97"/>
      <c r="AD24" s="97"/>
      <c r="AE24" s="96"/>
    </row>
    <row r="25" ht="15.75" customHeight="1">
      <c r="A25" s="91">
        <v>21.0</v>
      </c>
      <c r="B25" s="91">
        <v>9749.0</v>
      </c>
      <c r="C25" s="92">
        <v>9.11724104048E11</v>
      </c>
      <c r="D25" s="93" t="s">
        <v>118</v>
      </c>
      <c r="E25" s="94">
        <v>60.0</v>
      </c>
      <c r="F25" s="94"/>
      <c r="G25" s="77"/>
      <c r="H25" s="95">
        <v>23.0</v>
      </c>
      <c r="I25" s="94">
        <v>30.0</v>
      </c>
      <c r="J25" s="77"/>
      <c r="K25" s="77"/>
      <c r="M25" s="96"/>
      <c r="N25" s="97"/>
      <c r="O25" s="97"/>
      <c r="P25" s="96"/>
      <c r="Q25" s="86"/>
      <c r="R25" s="97"/>
      <c r="S25" s="97"/>
      <c r="T25" s="97"/>
      <c r="U25" s="97"/>
      <c r="V25" s="97"/>
      <c r="W25" s="86"/>
      <c r="X25" s="86"/>
      <c r="Y25" s="97"/>
      <c r="Z25" s="96"/>
      <c r="AA25" s="86"/>
      <c r="AB25" s="96"/>
      <c r="AC25" s="97"/>
      <c r="AD25" s="97"/>
      <c r="AE25" s="96"/>
    </row>
    <row r="26" ht="15.75" customHeight="1">
      <c r="A26" s="91">
        <v>22.0</v>
      </c>
      <c r="B26" s="91">
        <v>9887.0</v>
      </c>
      <c r="C26" s="92">
        <v>9.1172410405E11</v>
      </c>
      <c r="D26" s="93" t="s">
        <v>119</v>
      </c>
      <c r="E26" s="94">
        <v>56.0</v>
      </c>
      <c r="F26" s="94"/>
      <c r="G26" s="77"/>
      <c r="H26" s="95">
        <v>54.0</v>
      </c>
      <c r="I26" s="94">
        <v>52.0</v>
      </c>
      <c r="J26" s="77"/>
      <c r="K26" s="77"/>
      <c r="M26" s="96"/>
      <c r="N26" s="97"/>
      <c r="O26" s="97"/>
      <c r="P26" s="99"/>
      <c r="Q26" s="86"/>
      <c r="R26" s="97"/>
      <c r="S26" s="97"/>
      <c r="T26" s="97"/>
      <c r="U26" s="97"/>
      <c r="V26" s="97"/>
      <c r="W26" s="86"/>
      <c r="X26" s="86"/>
      <c r="Y26" s="97"/>
      <c r="Z26" s="96"/>
      <c r="AA26" s="86"/>
      <c r="AB26" s="96"/>
      <c r="AC26" s="97"/>
      <c r="AD26" s="97"/>
      <c r="AE26" s="96"/>
    </row>
    <row r="27" ht="15.75" customHeight="1">
      <c r="A27" s="91">
        <v>23.0</v>
      </c>
      <c r="B27" s="91">
        <v>9768.0</v>
      </c>
      <c r="C27" s="92">
        <v>9.11724104052E11</v>
      </c>
      <c r="D27" s="93" t="s">
        <v>120</v>
      </c>
      <c r="E27" s="94">
        <v>83.0</v>
      </c>
      <c r="F27" s="94"/>
      <c r="G27" s="77"/>
      <c r="H27" s="95">
        <v>74.0</v>
      </c>
      <c r="I27" s="94">
        <v>54.0</v>
      </c>
      <c r="J27" s="77"/>
      <c r="K27" s="77"/>
      <c r="M27" s="96"/>
      <c r="N27" s="97"/>
      <c r="O27" s="97"/>
      <c r="P27" s="96"/>
      <c r="Q27" s="86"/>
      <c r="R27" s="97"/>
      <c r="S27" s="97"/>
      <c r="T27" s="97"/>
      <c r="U27" s="97"/>
      <c r="V27" s="97"/>
      <c r="W27" s="86"/>
      <c r="X27" s="86"/>
      <c r="Y27" s="97"/>
      <c r="Z27" s="99"/>
      <c r="AA27" s="99"/>
      <c r="AB27" s="96"/>
      <c r="AC27" s="97"/>
      <c r="AD27" s="97"/>
      <c r="AE27" s="96"/>
    </row>
    <row r="28" ht="15.75" customHeight="1">
      <c r="A28" s="91">
        <v>24.0</v>
      </c>
      <c r="B28" s="91">
        <v>9926.0</v>
      </c>
      <c r="C28" s="92">
        <v>9.11724104054E11</v>
      </c>
      <c r="D28" s="93" t="s">
        <v>121</v>
      </c>
      <c r="E28" s="94">
        <v>93.0</v>
      </c>
      <c r="F28" s="94"/>
      <c r="G28" s="77"/>
      <c r="H28" s="95">
        <v>57.0</v>
      </c>
      <c r="I28" s="94">
        <v>72.0</v>
      </c>
      <c r="J28" s="77"/>
      <c r="K28" s="77"/>
      <c r="M28" s="96"/>
      <c r="N28" s="97"/>
      <c r="O28" s="97"/>
      <c r="P28" s="96"/>
      <c r="Q28" s="86"/>
      <c r="R28" s="97"/>
      <c r="S28" s="97"/>
      <c r="T28" s="97"/>
      <c r="U28" s="97"/>
      <c r="V28" s="97"/>
      <c r="W28" s="86"/>
      <c r="X28" s="86"/>
      <c r="Y28" s="97"/>
      <c r="Z28" s="96"/>
      <c r="AA28" s="86"/>
      <c r="AB28" s="96"/>
      <c r="AC28" s="97"/>
      <c r="AD28" s="97"/>
      <c r="AE28" s="96"/>
    </row>
    <row r="29" ht="15.75" customHeight="1">
      <c r="A29" s="91">
        <v>25.0</v>
      </c>
      <c r="B29" s="91">
        <v>9992.0</v>
      </c>
      <c r="C29" s="92">
        <v>9.11724104055E11</v>
      </c>
      <c r="D29" s="93" t="s">
        <v>122</v>
      </c>
      <c r="E29" s="94"/>
      <c r="F29" s="94"/>
      <c r="G29" s="77"/>
      <c r="H29" s="95">
        <v>74.0</v>
      </c>
      <c r="I29" s="94">
        <v>80.0</v>
      </c>
      <c r="J29" s="77"/>
      <c r="K29" s="77"/>
      <c r="M29" s="96"/>
      <c r="N29" s="97"/>
      <c r="O29" s="97"/>
      <c r="P29" s="96"/>
      <c r="Q29" s="86"/>
      <c r="R29" s="97"/>
      <c r="S29" s="97"/>
      <c r="T29" s="97"/>
      <c r="U29" s="97"/>
      <c r="V29" s="97"/>
      <c r="W29" s="86"/>
      <c r="X29" s="86"/>
      <c r="Y29" s="97"/>
      <c r="Z29" s="96"/>
      <c r="AA29" s="86"/>
      <c r="AB29" s="99"/>
      <c r="AC29" s="97"/>
      <c r="AD29" s="97"/>
      <c r="AE29" s="96"/>
    </row>
    <row r="30" ht="15.75" customHeight="1">
      <c r="A30" s="91">
        <v>26.0</v>
      </c>
      <c r="B30" s="91">
        <v>9716.0</v>
      </c>
      <c r="C30" s="92">
        <v>9.11724104057E11</v>
      </c>
      <c r="D30" s="93" t="s">
        <v>123</v>
      </c>
      <c r="E30" s="94"/>
      <c r="F30" s="94"/>
      <c r="G30" s="77"/>
      <c r="H30" s="95">
        <v>2.0</v>
      </c>
      <c r="I30" s="94">
        <v>10.0</v>
      </c>
      <c r="J30" s="77"/>
      <c r="K30" s="77"/>
      <c r="M30" s="96"/>
      <c r="N30" s="97"/>
      <c r="O30" s="97"/>
      <c r="P30" s="96"/>
      <c r="Q30" s="86"/>
      <c r="R30" s="97"/>
      <c r="S30" s="97"/>
      <c r="T30" s="97"/>
      <c r="U30" s="97"/>
      <c r="V30" s="97"/>
      <c r="W30" s="86"/>
      <c r="X30" s="86"/>
      <c r="Y30" s="97"/>
      <c r="Z30" s="96"/>
      <c r="AA30" s="86"/>
      <c r="AB30" s="96"/>
      <c r="AC30" s="97"/>
      <c r="AD30" s="97"/>
      <c r="AE30" s="96"/>
    </row>
    <row r="31" ht="15.75" customHeight="1">
      <c r="A31" s="91">
        <v>27.0</v>
      </c>
      <c r="B31" s="91">
        <v>9610.0</v>
      </c>
      <c r="C31" s="92">
        <v>9.11724104058E11</v>
      </c>
      <c r="D31" s="93" t="s">
        <v>124</v>
      </c>
      <c r="E31" s="94"/>
      <c r="F31" s="94"/>
      <c r="G31" s="77"/>
      <c r="H31" s="95">
        <v>29.0</v>
      </c>
      <c r="I31" s="94">
        <v>50.0</v>
      </c>
      <c r="J31" s="77"/>
      <c r="K31" s="77"/>
      <c r="M31" s="96"/>
      <c r="N31" s="97"/>
      <c r="O31" s="97"/>
      <c r="P31" s="96"/>
      <c r="Q31" s="86"/>
      <c r="R31" s="97"/>
      <c r="S31" s="97"/>
      <c r="T31" s="97"/>
      <c r="U31" s="97"/>
      <c r="V31" s="97"/>
      <c r="W31" s="86"/>
      <c r="X31" s="86"/>
      <c r="Y31" s="97"/>
      <c r="Z31" s="96"/>
      <c r="AA31" s="86"/>
      <c r="AB31" s="96"/>
      <c r="AC31" s="97"/>
      <c r="AD31" s="97"/>
      <c r="AE31" s="96"/>
    </row>
    <row r="32" ht="15.75" customHeight="1">
      <c r="A32" s="91">
        <v>28.0</v>
      </c>
      <c r="B32" s="91">
        <v>9683.0</v>
      </c>
      <c r="C32" s="92">
        <v>9.11724104059E11</v>
      </c>
      <c r="D32" s="93" t="s">
        <v>125</v>
      </c>
      <c r="E32" s="94"/>
      <c r="F32" s="94"/>
      <c r="G32" s="77"/>
      <c r="H32" s="95">
        <v>30.0</v>
      </c>
      <c r="I32" s="94">
        <v>23.0</v>
      </c>
      <c r="J32" s="77"/>
      <c r="K32" s="77"/>
      <c r="M32" s="99"/>
      <c r="N32" s="97"/>
      <c r="O32" s="97"/>
      <c r="P32" s="96"/>
      <c r="Q32" s="86"/>
      <c r="R32" s="97"/>
      <c r="S32" s="97"/>
      <c r="T32" s="97"/>
      <c r="U32" s="99"/>
      <c r="V32" s="97"/>
      <c r="W32" s="86"/>
      <c r="X32" s="86"/>
      <c r="Y32" s="97"/>
      <c r="Z32" s="96"/>
      <c r="AA32" s="99"/>
      <c r="AB32" s="99"/>
      <c r="AC32" s="97"/>
      <c r="AD32" s="97"/>
      <c r="AE32" s="99"/>
    </row>
    <row r="33" ht="15.75" customHeight="1">
      <c r="A33" s="91">
        <v>29.0</v>
      </c>
      <c r="B33" s="91">
        <v>9745.0</v>
      </c>
      <c r="C33" s="92">
        <v>9.1172410406E11</v>
      </c>
      <c r="D33" s="93" t="s">
        <v>126</v>
      </c>
      <c r="E33" s="94"/>
      <c r="F33" s="94"/>
      <c r="G33" s="77"/>
      <c r="H33" s="95">
        <v>28.0</v>
      </c>
      <c r="I33" s="94">
        <v>16.0</v>
      </c>
      <c r="J33" s="77"/>
      <c r="K33" s="77"/>
      <c r="M33" s="96"/>
      <c r="N33" s="97"/>
      <c r="O33" s="97"/>
      <c r="P33" s="96"/>
      <c r="Q33" s="86"/>
      <c r="R33" s="97"/>
      <c r="S33" s="97"/>
      <c r="T33" s="97"/>
      <c r="U33" s="97"/>
      <c r="V33" s="97"/>
      <c r="W33" s="86"/>
      <c r="X33" s="86"/>
      <c r="Y33" s="97"/>
      <c r="Z33" s="96"/>
      <c r="AA33" s="86"/>
      <c r="AB33" s="96"/>
      <c r="AC33" s="97"/>
      <c r="AD33" s="97"/>
      <c r="AE33" s="96"/>
    </row>
    <row r="34" ht="15.75" customHeight="1">
      <c r="A34" s="91">
        <v>30.0</v>
      </c>
      <c r="B34" s="91">
        <v>9713.0</v>
      </c>
      <c r="C34" s="92">
        <v>9.11724104062E11</v>
      </c>
      <c r="D34" s="93" t="s">
        <v>127</v>
      </c>
      <c r="E34" s="94"/>
      <c r="F34" s="94"/>
      <c r="G34" s="77"/>
      <c r="H34" s="95">
        <v>53.0</v>
      </c>
      <c r="I34" s="94">
        <v>74.0</v>
      </c>
      <c r="J34" s="77"/>
      <c r="K34" s="77"/>
      <c r="M34" s="96"/>
      <c r="N34" s="97"/>
      <c r="O34" s="97"/>
      <c r="P34" s="96"/>
      <c r="Q34" s="86"/>
      <c r="R34" s="97"/>
      <c r="S34" s="97"/>
      <c r="T34" s="97"/>
      <c r="U34" s="97"/>
      <c r="V34" s="97"/>
      <c r="W34" s="86"/>
      <c r="X34" s="86"/>
      <c r="Y34" s="97"/>
      <c r="Z34" s="96"/>
      <c r="AA34" s="86"/>
      <c r="AB34" s="96"/>
      <c r="AC34" s="97"/>
      <c r="AD34" s="97"/>
      <c r="AE34" s="96"/>
    </row>
    <row r="35" ht="15.75" customHeight="1">
      <c r="A35" s="91">
        <v>31.0</v>
      </c>
      <c r="B35" s="91">
        <v>9558.0</v>
      </c>
      <c r="C35" s="92">
        <v>9.11724104068E11</v>
      </c>
      <c r="D35" s="93" t="s">
        <v>128</v>
      </c>
      <c r="E35" s="94"/>
      <c r="F35" s="94"/>
      <c r="G35" s="77"/>
      <c r="H35" s="95">
        <v>50.0</v>
      </c>
      <c r="I35" s="94">
        <v>74.0</v>
      </c>
      <c r="J35" s="77"/>
      <c r="K35" s="77"/>
      <c r="M35" s="96"/>
      <c r="N35" s="97"/>
      <c r="O35" s="97"/>
      <c r="P35" s="96"/>
      <c r="Q35" s="86"/>
      <c r="R35" s="97"/>
      <c r="S35" s="97"/>
      <c r="T35" s="97"/>
      <c r="U35" s="97"/>
      <c r="V35" s="97"/>
      <c r="W35" s="86"/>
      <c r="X35" s="86"/>
      <c r="Y35" s="97"/>
      <c r="Z35" s="96"/>
      <c r="AA35" s="86"/>
      <c r="AB35" s="96"/>
      <c r="AC35" s="97"/>
      <c r="AD35" s="97"/>
      <c r="AE35" s="96"/>
    </row>
    <row r="36" ht="15.75" customHeight="1">
      <c r="A36" s="91">
        <v>32.0</v>
      </c>
      <c r="B36" s="91">
        <v>9631.0</v>
      </c>
      <c r="C36" s="92">
        <v>9.11724104075E11</v>
      </c>
      <c r="D36" s="93" t="s">
        <v>129</v>
      </c>
      <c r="E36" s="94"/>
      <c r="F36" s="94"/>
      <c r="G36" s="77"/>
      <c r="H36" s="95">
        <v>28.0</v>
      </c>
      <c r="I36" s="94">
        <v>60.0</v>
      </c>
      <c r="J36" s="77"/>
      <c r="K36" s="77"/>
      <c r="M36" s="96"/>
      <c r="N36" s="97"/>
      <c r="O36" s="97"/>
      <c r="P36" s="96"/>
      <c r="Q36" s="86"/>
      <c r="R36" s="97"/>
      <c r="S36" s="97"/>
      <c r="T36" s="97"/>
      <c r="U36" s="97"/>
      <c r="V36" s="97"/>
      <c r="W36" s="86"/>
      <c r="X36" s="86"/>
      <c r="Y36" s="97"/>
      <c r="Z36" s="96"/>
      <c r="AA36" s="86"/>
      <c r="AB36" s="96"/>
      <c r="AC36" s="97"/>
      <c r="AD36" s="97"/>
      <c r="AE36" s="96"/>
    </row>
    <row r="37" ht="15.75" customHeight="1">
      <c r="A37" s="91">
        <v>33.0</v>
      </c>
      <c r="B37" s="91">
        <v>9584.0</v>
      </c>
      <c r="C37" s="92">
        <v>9.11724104076E11</v>
      </c>
      <c r="D37" s="93" t="s">
        <v>130</v>
      </c>
      <c r="E37" s="94"/>
      <c r="F37" s="94"/>
      <c r="G37" s="77"/>
      <c r="H37" s="95">
        <v>2.0</v>
      </c>
      <c r="I37" s="94">
        <v>5.0</v>
      </c>
      <c r="J37" s="77"/>
      <c r="K37" s="77"/>
      <c r="M37" s="96"/>
      <c r="N37" s="97"/>
      <c r="O37" s="97"/>
      <c r="P37" s="96"/>
      <c r="Q37" s="86"/>
      <c r="R37" s="97"/>
      <c r="S37" s="97"/>
      <c r="T37" s="97"/>
      <c r="U37" s="97"/>
      <c r="V37" s="97"/>
      <c r="W37" s="86"/>
      <c r="X37" s="86"/>
      <c r="Y37" s="97"/>
      <c r="Z37" s="96"/>
      <c r="AA37" s="99"/>
      <c r="AB37" s="96"/>
      <c r="AC37" s="97"/>
      <c r="AD37" s="97"/>
      <c r="AE37" s="96"/>
    </row>
    <row r="38" ht="15.75" customHeight="1">
      <c r="A38" s="91">
        <v>34.0</v>
      </c>
      <c r="B38" s="91">
        <v>9868.0</v>
      </c>
      <c r="C38" s="92">
        <v>9.11724104079E11</v>
      </c>
      <c r="D38" s="93" t="s">
        <v>131</v>
      </c>
      <c r="E38" s="94"/>
      <c r="F38" s="94"/>
      <c r="G38" s="77"/>
      <c r="H38" s="95">
        <v>50.0</v>
      </c>
      <c r="I38" s="94">
        <v>70.0</v>
      </c>
      <c r="J38" s="77"/>
      <c r="K38" s="77"/>
      <c r="M38" s="96"/>
      <c r="N38" s="97"/>
      <c r="O38" s="97"/>
      <c r="P38" s="96"/>
      <c r="Q38" s="86"/>
      <c r="R38" s="97"/>
      <c r="S38" s="97"/>
      <c r="T38" s="97"/>
      <c r="U38" s="97"/>
      <c r="V38" s="97"/>
      <c r="W38" s="86"/>
      <c r="X38" s="86"/>
      <c r="Y38" s="97"/>
      <c r="Z38" s="96"/>
      <c r="AA38" s="86"/>
      <c r="AB38" s="96"/>
      <c r="AC38" s="97"/>
      <c r="AD38" s="97"/>
      <c r="AE38" s="96"/>
    </row>
    <row r="39" ht="15.75" customHeight="1">
      <c r="A39" s="91">
        <v>35.0</v>
      </c>
      <c r="B39" s="91">
        <v>9564.0</v>
      </c>
      <c r="C39" s="92">
        <v>9.1172410408E11</v>
      </c>
      <c r="D39" s="93" t="s">
        <v>132</v>
      </c>
      <c r="E39" s="94"/>
      <c r="F39" s="94"/>
      <c r="G39" s="77"/>
      <c r="H39" s="95">
        <v>9.0</v>
      </c>
      <c r="I39" s="94">
        <v>5.0</v>
      </c>
      <c r="J39" s="77"/>
      <c r="K39" s="77"/>
      <c r="M39" s="96"/>
      <c r="N39" s="97"/>
      <c r="O39" s="97"/>
      <c r="P39" s="96"/>
      <c r="Q39" s="86"/>
      <c r="R39" s="97"/>
      <c r="S39" s="97"/>
      <c r="T39" s="97"/>
      <c r="U39" s="97"/>
      <c r="V39" s="97"/>
      <c r="W39" s="86"/>
      <c r="X39" s="86"/>
      <c r="Y39" s="97"/>
      <c r="Z39" s="96"/>
      <c r="AA39" s="86"/>
      <c r="AB39" s="96"/>
      <c r="AC39" s="97"/>
      <c r="AD39" s="97"/>
      <c r="AE39" s="96"/>
    </row>
    <row r="40" ht="15.75" customHeight="1">
      <c r="A40" s="91">
        <v>36.0</v>
      </c>
      <c r="B40" s="91">
        <v>9910.0</v>
      </c>
      <c r="C40" s="92">
        <v>9.11724104081E11</v>
      </c>
      <c r="D40" s="93" t="s">
        <v>133</v>
      </c>
      <c r="E40" s="94"/>
      <c r="F40" s="94"/>
      <c r="G40" s="77"/>
      <c r="H40" s="95">
        <v>5.0</v>
      </c>
      <c r="I40" s="94">
        <v>56.0</v>
      </c>
      <c r="J40" s="77"/>
      <c r="K40" s="77"/>
      <c r="M40" s="99"/>
      <c r="N40" s="97"/>
      <c r="O40" s="97"/>
      <c r="P40" s="99"/>
      <c r="Q40" s="86"/>
      <c r="R40" s="97"/>
      <c r="S40" s="97"/>
      <c r="T40" s="97"/>
      <c r="U40" s="97"/>
      <c r="V40" s="97"/>
      <c r="W40" s="86"/>
      <c r="X40" s="86"/>
      <c r="Y40" s="97"/>
      <c r="Z40" s="96"/>
      <c r="AA40" s="86"/>
      <c r="AB40" s="96"/>
      <c r="AC40" s="97"/>
      <c r="AD40" s="97"/>
      <c r="AE40" s="99"/>
    </row>
    <row r="41" ht="15.75" customHeight="1">
      <c r="A41" s="91">
        <v>37.0</v>
      </c>
      <c r="B41" s="91">
        <v>9566.0</v>
      </c>
      <c r="C41" s="92">
        <v>9.11724104082E11</v>
      </c>
      <c r="D41" s="93" t="s">
        <v>134</v>
      </c>
      <c r="E41" s="94"/>
      <c r="F41" s="94"/>
      <c r="G41" s="77"/>
      <c r="H41" s="95">
        <v>19.0</v>
      </c>
      <c r="I41" s="94">
        <v>20.0</v>
      </c>
      <c r="J41" s="77"/>
      <c r="K41" s="77"/>
      <c r="M41" s="96"/>
      <c r="N41" s="97"/>
      <c r="O41" s="97"/>
      <c r="P41" s="96"/>
      <c r="Q41" s="86"/>
      <c r="R41" s="97"/>
      <c r="S41" s="97"/>
      <c r="T41" s="97"/>
      <c r="U41" s="97"/>
      <c r="V41" s="97"/>
      <c r="W41" s="86"/>
      <c r="X41" s="86"/>
      <c r="Y41" s="97"/>
      <c r="Z41" s="96"/>
      <c r="AA41" s="86"/>
      <c r="AB41" s="96"/>
      <c r="AC41" s="97"/>
      <c r="AD41" s="97"/>
      <c r="AE41" s="96"/>
    </row>
    <row r="42" ht="15.75" customHeight="1">
      <c r="A42" s="91">
        <v>38.0</v>
      </c>
      <c r="B42" s="91">
        <v>9651.0</v>
      </c>
      <c r="C42" s="92">
        <v>9.11724104084E11</v>
      </c>
      <c r="D42" s="93" t="s">
        <v>135</v>
      </c>
      <c r="E42" s="94"/>
      <c r="F42" s="94"/>
      <c r="G42" s="77"/>
      <c r="H42" s="95">
        <v>29.0</v>
      </c>
      <c r="I42" s="94">
        <v>26.0</v>
      </c>
      <c r="J42" s="77"/>
      <c r="K42" s="77"/>
      <c r="M42" s="96"/>
      <c r="N42" s="97"/>
      <c r="O42" s="97"/>
      <c r="P42" s="96"/>
      <c r="Q42" s="86"/>
      <c r="R42" s="97"/>
      <c r="S42" s="97"/>
      <c r="T42" s="97"/>
      <c r="U42" s="97"/>
      <c r="V42" s="97"/>
      <c r="W42" s="86"/>
      <c r="X42" s="86"/>
      <c r="Y42" s="97"/>
      <c r="Z42" s="96"/>
      <c r="AA42" s="86"/>
      <c r="AB42" s="96"/>
      <c r="AC42" s="97"/>
      <c r="AD42" s="97"/>
      <c r="AE42" s="96"/>
    </row>
    <row r="43" ht="15.75" customHeight="1">
      <c r="A43" s="91">
        <v>39.0</v>
      </c>
      <c r="B43" s="91">
        <v>9550.0</v>
      </c>
      <c r="C43" s="92">
        <v>9.11724104085E11</v>
      </c>
      <c r="D43" s="93" t="s">
        <v>136</v>
      </c>
      <c r="E43" s="94"/>
      <c r="F43" s="94"/>
      <c r="G43" s="77"/>
      <c r="H43" s="95">
        <v>6.0</v>
      </c>
      <c r="I43" s="94">
        <v>10.0</v>
      </c>
      <c r="J43" s="77"/>
      <c r="K43" s="77"/>
      <c r="M43" s="96"/>
      <c r="N43" s="97"/>
      <c r="O43" s="97"/>
      <c r="P43" s="96"/>
      <c r="Q43" s="86"/>
      <c r="R43" s="97"/>
      <c r="S43" s="97"/>
      <c r="T43" s="97"/>
      <c r="U43" s="99"/>
      <c r="V43" s="97"/>
      <c r="W43" s="86"/>
      <c r="X43" s="86"/>
      <c r="Y43" s="97"/>
      <c r="Z43" s="96"/>
      <c r="AA43" s="86"/>
      <c r="AB43" s="96"/>
      <c r="AC43" s="97"/>
      <c r="AD43" s="97"/>
      <c r="AE43" s="96"/>
    </row>
    <row r="44" ht="15.75" customHeight="1">
      <c r="A44" s="91">
        <v>40.0</v>
      </c>
      <c r="B44" s="91">
        <v>9662.0</v>
      </c>
      <c r="C44" s="92">
        <v>9.11724104089E11</v>
      </c>
      <c r="D44" s="93" t="s">
        <v>137</v>
      </c>
      <c r="E44" s="94"/>
      <c r="F44" s="94"/>
      <c r="G44" s="77"/>
      <c r="H44" s="95">
        <v>50.0</v>
      </c>
      <c r="I44" s="94">
        <v>70.0</v>
      </c>
      <c r="J44" s="77"/>
      <c r="K44" s="77"/>
      <c r="M44" s="96"/>
      <c r="N44" s="97"/>
      <c r="O44" s="97"/>
      <c r="P44" s="96"/>
      <c r="Q44" s="86"/>
      <c r="R44" s="97"/>
      <c r="S44" s="97"/>
      <c r="T44" s="97"/>
      <c r="U44" s="97"/>
      <c r="V44" s="97"/>
      <c r="W44" s="86"/>
      <c r="X44" s="86"/>
      <c r="Y44" s="97"/>
      <c r="Z44" s="96"/>
      <c r="AA44" s="99"/>
      <c r="AB44" s="96"/>
      <c r="AC44" s="97"/>
      <c r="AD44" s="97"/>
      <c r="AE44" s="96"/>
    </row>
    <row r="45" ht="15.75" customHeight="1">
      <c r="A45" s="91">
        <v>41.0</v>
      </c>
      <c r="B45" s="91">
        <v>10018.0</v>
      </c>
      <c r="C45" s="92">
        <v>9.1172410409E11</v>
      </c>
      <c r="D45" s="93" t="s">
        <v>138</v>
      </c>
      <c r="E45" s="94"/>
      <c r="F45" s="94"/>
      <c r="G45" s="77"/>
      <c r="H45" s="95">
        <v>18.0</v>
      </c>
      <c r="I45" s="94">
        <v>5.0</v>
      </c>
      <c r="J45" s="77"/>
      <c r="K45" s="77"/>
      <c r="M45" s="96"/>
      <c r="N45" s="97"/>
      <c r="O45" s="97"/>
      <c r="P45" s="96"/>
      <c r="Q45" s="86"/>
      <c r="R45" s="97"/>
      <c r="S45" s="97"/>
      <c r="T45" s="97"/>
      <c r="U45" s="97"/>
      <c r="V45" s="97"/>
      <c r="W45" s="86"/>
      <c r="X45" s="86"/>
      <c r="Y45" s="97"/>
      <c r="Z45" s="96"/>
      <c r="AA45" s="86"/>
      <c r="AB45" s="96"/>
      <c r="AC45" s="97"/>
      <c r="AD45" s="97"/>
      <c r="AE45" s="99"/>
    </row>
    <row r="46" ht="15.75" customHeight="1">
      <c r="A46" s="91">
        <v>42.0</v>
      </c>
      <c r="B46" s="91">
        <v>9777.0</v>
      </c>
      <c r="C46" s="92">
        <v>9.11724104091E11</v>
      </c>
      <c r="D46" s="93" t="s">
        <v>139</v>
      </c>
      <c r="E46" s="94"/>
      <c r="F46" s="94"/>
      <c r="G46" s="77"/>
      <c r="H46" s="95">
        <v>50.0</v>
      </c>
      <c r="I46" s="94">
        <v>32.0</v>
      </c>
      <c r="J46" s="77"/>
      <c r="K46" s="77"/>
      <c r="M46" s="96"/>
      <c r="N46" s="97"/>
      <c r="O46" s="97"/>
      <c r="P46" s="97"/>
      <c r="Q46" s="86"/>
      <c r="R46" s="97"/>
      <c r="S46" s="97"/>
      <c r="T46" s="97"/>
      <c r="U46" s="97"/>
      <c r="V46" s="97"/>
      <c r="W46" s="86"/>
      <c r="X46" s="86"/>
      <c r="Y46" s="97"/>
      <c r="Z46" s="96"/>
      <c r="AA46" s="86"/>
      <c r="AB46" s="96"/>
      <c r="AC46" s="97"/>
      <c r="AD46" s="97"/>
      <c r="AE46" s="96"/>
    </row>
    <row r="47" ht="15.75" customHeight="1">
      <c r="A47" s="91">
        <v>43.0</v>
      </c>
      <c r="B47" s="91">
        <v>9727.0</v>
      </c>
      <c r="C47" s="92">
        <v>9.11724104093E11</v>
      </c>
      <c r="D47" s="93" t="s">
        <v>140</v>
      </c>
      <c r="E47" s="94"/>
      <c r="F47" s="94"/>
      <c r="G47" s="77"/>
      <c r="H47" s="95">
        <v>62.0</v>
      </c>
      <c r="I47" s="94">
        <v>60.0</v>
      </c>
      <c r="J47" s="77"/>
      <c r="K47" s="77"/>
      <c r="M47" s="96"/>
      <c r="N47" s="97"/>
      <c r="O47" s="97"/>
      <c r="P47" s="96"/>
      <c r="Q47" s="86"/>
      <c r="R47" s="97"/>
      <c r="S47" s="97"/>
      <c r="T47" s="97"/>
      <c r="U47" s="97"/>
      <c r="V47" s="97"/>
      <c r="W47" s="86"/>
      <c r="X47" s="86"/>
      <c r="Y47" s="97"/>
      <c r="Z47" s="96"/>
      <c r="AA47" s="86"/>
      <c r="AB47" s="96"/>
      <c r="AC47" s="97"/>
      <c r="AD47" s="97"/>
      <c r="AE47" s="96"/>
    </row>
    <row r="48" ht="15.75" customHeight="1">
      <c r="A48" s="91">
        <v>44.0</v>
      </c>
      <c r="B48" s="91">
        <v>9547.0</v>
      </c>
      <c r="C48" s="92">
        <v>9.11724104095E11</v>
      </c>
      <c r="D48" s="93" t="s">
        <v>141</v>
      </c>
      <c r="E48" s="94"/>
      <c r="F48" s="94"/>
      <c r="G48" s="77"/>
      <c r="H48" s="95">
        <v>8.0</v>
      </c>
      <c r="I48" s="94">
        <v>23.0</v>
      </c>
      <c r="J48" s="77"/>
      <c r="K48" s="77"/>
      <c r="M48" s="96"/>
      <c r="N48" s="97"/>
      <c r="O48" s="97"/>
      <c r="P48" s="96"/>
      <c r="Q48" s="86"/>
      <c r="R48" s="97"/>
      <c r="S48" s="97"/>
      <c r="T48" s="97"/>
      <c r="U48" s="97"/>
      <c r="V48" s="97"/>
      <c r="W48" s="86"/>
      <c r="X48" s="86"/>
      <c r="Y48" s="97"/>
      <c r="Z48" s="96"/>
      <c r="AA48" s="86"/>
      <c r="AB48" s="99"/>
      <c r="AC48" s="97"/>
      <c r="AD48" s="97"/>
      <c r="AE48" s="96"/>
    </row>
    <row r="49" ht="15.75" customHeight="1">
      <c r="A49" s="91">
        <v>45.0</v>
      </c>
      <c r="B49" s="91">
        <v>9669.0</v>
      </c>
      <c r="C49" s="92">
        <v>9.11724104097E11</v>
      </c>
      <c r="D49" s="93" t="s">
        <v>142</v>
      </c>
      <c r="E49" s="94"/>
      <c r="F49" s="94"/>
      <c r="G49" s="77"/>
      <c r="H49" s="95">
        <v>54.0</v>
      </c>
      <c r="I49" s="94">
        <v>84.0</v>
      </c>
      <c r="J49" s="77"/>
      <c r="K49" s="77"/>
      <c r="M49" s="96"/>
      <c r="N49" s="97"/>
      <c r="O49" s="97"/>
      <c r="P49" s="96"/>
      <c r="Q49" s="86"/>
      <c r="R49" s="97"/>
      <c r="S49" s="97"/>
      <c r="T49" s="97"/>
      <c r="U49" s="97"/>
      <c r="V49" s="97"/>
      <c r="W49" s="86"/>
      <c r="X49" s="86"/>
      <c r="Y49" s="97"/>
      <c r="Z49" s="96"/>
      <c r="AA49" s="86"/>
      <c r="AB49" s="96"/>
      <c r="AC49" s="97"/>
      <c r="AD49" s="97"/>
      <c r="AE49" s="96"/>
    </row>
    <row r="50" ht="15.75" customHeight="1">
      <c r="A50" s="91">
        <v>46.0</v>
      </c>
      <c r="B50" s="91">
        <v>9939.0</v>
      </c>
      <c r="C50" s="92">
        <v>9.11724104098E11</v>
      </c>
      <c r="D50" s="93" t="s">
        <v>143</v>
      </c>
      <c r="E50" s="94"/>
      <c r="F50" s="94"/>
      <c r="G50" s="77"/>
      <c r="H50" s="95" t="s">
        <v>27</v>
      </c>
      <c r="I50" s="94" t="s">
        <v>27</v>
      </c>
      <c r="J50" s="77"/>
      <c r="K50" s="77"/>
      <c r="M50" s="96"/>
      <c r="N50" s="97"/>
      <c r="O50" s="97"/>
      <c r="P50" s="96"/>
      <c r="Q50" s="86"/>
      <c r="R50" s="97"/>
      <c r="S50" s="97"/>
      <c r="T50" s="97"/>
      <c r="U50" s="97"/>
      <c r="V50" s="97"/>
      <c r="W50" s="86"/>
      <c r="X50" s="86"/>
      <c r="Y50" s="97"/>
      <c r="Z50" s="96"/>
      <c r="AA50" s="86"/>
      <c r="AB50" s="96"/>
      <c r="AC50" s="97"/>
      <c r="AD50" s="97"/>
      <c r="AE50" s="96"/>
    </row>
    <row r="51" ht="15.75" customHeight="1">
      <c r="A51" s="91">
        <v>47.0</v>
      </c>
      <c r="B51" s="91">
        <v>10001.0</v>
      </c>
      <c r="C51" s="92">
        <v>9.117241041E11</v>
      </c>
      <c r="D51" s="93" t="s">
        <v>144</v>
      </c>
      <c r="E51" s="94"/>
      <c r="F51" s="94"/>
      <c r="G51" s="77"/>
      <c r="H51" s="95">
        <v>51.0</v>
      </c>
      <c r="I51" s="94">
        <v>69.0</v>
      </c>
      <c r="J51" s="77"/>
      <c r="K51" s="77"/>
      <c r="M51" s="96"/>
      <c r="N51" s="97"/>
      <c r="O51" s="97"/>
      <c r="P51" s="96"/>
      <c r="Q51" s="86"/>
      <c r="R51" s="97"/>
      <c r="S51" s="97"/>
      <c r="T51" s="97"/>
      <c r="U51" s="97"/>
      <c r="V51" s="97"/>
      <c r="W51" s="86"/>
      <c r="X51" s="86"/>
      <c r="Y51" s="97"/>
      <c r="Z51" s="96"/>
      <c r="AA51" s="99"/>
      <c r="AB51" s="96"/>
      <c r="AC51" s="97"/>
      <c r="AD51" s="97"/>
      <c r="AE51" s="99"/>
    </row>
    <row r="52" ht="15.75" customHeight="1">
      <c r="A52" s="91">
        <v>48.0</v>
      </c>
      <c r="B52" s="91">
        <v>9774.0</v>
      </c>
      <c r="C52" s="92">
        <v>9.11724104101E11</v>
      </c>
      <c r="D52" s="93" t="s">
        <v>145</v>
      </c>
      <c r="E52" s="94"/>
      <c r="F52" s="94"/>
      <c r="G52" s="77"/>
      <c r="H52" s="95">
        <v>6.0</v>
      </c>
      <c r="I52" s="94">
        <v>10.0</v>
      </c>
      <c r="J52" s="77"/>
      <c r="K52" s="77"/>
      <c r="M52" s="96"/>
      <c r="N52" s="97"/>
      <c r="O52" s="97"/>
      <c r="P52" s="96"/>
      <c r="Q52" s="86"/>
      <c r="R52" s="97"/>
      <c r="S52" s="97"/>
      <c r="T52" s="97"/>
      <c r="U52" s="97"/>
      <c r="V52" s="97"/>
      <c r="W52" s="86"/>
      <c r="X52" s="86"/>
      <c r="Y52" s="97"/>
      <c r="Z52" s="96"/>
      <c r="AA52" s="86"/>
      <c r="AB52" s="96"/>
      <c r="AC52" s="97"/>
      <c r="AD52" s="97"/>
      <c r="AE52" s="96"/>
    </row>
    <row r="53" ht="15.75" customHeight="1">
      <c r="A53" s="91">
        <v>49.0</v>
      </c>
      <c r="B53" s="91">
        <v>9524.0</v>
      </c>
      <c r="C53" s="92">
        <v>9.11724104106E11</v>
      </c>
      <c r="D53" s="93" t="s">
        <v>146</v>
      </c>
      <c r="E53" s="94"/>
      <c r="F53" s="94"/>
      <c r="G53" s="77"/>
      <c r="H53" s="95">
        <v>6.0</v>
      </c>
      <c r="I53" s="94">
        <v>5.0</v>
      </c>
      <c r="J53" s="77"/>
      <c r="K53" s="77"/>
      <c r="M53" s="96"/>
      <c r="N53" s="97"/>
      <c r="O53" s="97"/>
      <c r="P53" s="96"/>
      <c r="Q53" s="86"/>
      <c r="R53" s="97"/>
      <c r="S53" s="97"/>
      <c r="T53" s="97"/>
      <c r="U53" s="97"/>
      <c r="V53" s="97"/>
      <c r="W53" s="86"/>
      <c r="X53" s="86"/>
      <c r="Y53" s="97"/>
      <c r="Z53" s="96"/>
      <c r="AA53" s="86"/>
      <c r="AB53" s="96"/>
      <c r="AC53" s="97"/>
      <c r="AD53" s="97"/>
      <c r="AE53" s="96"/>
    </row>
    <row r="54" ht="15.75" customHeight="1">
      <c r="A54" s="91">
        <v>50.0</v>
      </c>
      <c r="B54" s="91">
        <v>9675.0</v>
      </c>
      <c r="C54" s="92">
        <v>9.11724104108E11</v>
      </c>
      <c r="D54" s="93" t="s">
        <v>147</v>
      </c>
      <c r="E54" s="94"/>
      <c r="F54" s="94"/>
      <c r="G54" s="77"/>
      <c r="H54" s="95">
        <v>30.0</v>
      </c>
      <c r="I54" s="94">
        <v>50.0</v>
      </c>
      <c r="J54" s="77"/>
      <c r="K54" s="77"/>
      <c r="M54" s="99"/>
      <c r="N54" s="97"/>
      <c r="O54" s="97"/>
      <c r="P54" s="96"/>
      <c r="Q54" s="86"/>
      <c r="R54" s="97"/>
      <c r="S54" s="97"/>
      <c r="T54" s="97"/>
      <c r="U54" s="97"/>
      <c r="V54" s="97"/>
      <c r="W54" s="86"/>
      <c r="X54" s="86"/>
      <c r="Y54" s="97"/>
      <c r="Z54" s="96"/>
      <c r="AA54" s="86"/>
      <c r="AB54" s="96"/>
      <c r="AC54" s="97"/>
      <c r="AD54" s="97"/>
      <c r="AE54" s="96"/>
    </row>
    <row r="55" ht="15.75" customHeight="1">
      <c r="A55" s="91">
        <v>51.0</v>
      </c>
      <c r="B55" s="91">
        <v>9931.0</v>
      </c>
      <c r="C55" s="92">
        <v>9.11724104111E11</v>
      </c>
      <c r="D55" s="93" t="s">
        <v>148</v>
      </c>
      <c r="E55" s="94"/>
      <c r="F55" s="94"/>
      <c r="G55" s="77"/>
      <c r="H55" s="95">
        <v>50.0</v>
      </c>
      <c r="I55" s="94">
        <v>28.0</v>
      </c>
      <c r="J55" s="77"/>
      <c r="K55" s="77"/>
      <c r="M55" s="96"/>
      <c r="N55" s="97"/>
      <c r="O55" s="97"/>
      <c r="P55" s="96"/>
      <c r="Q55" s="86"/>
      <c r="R55" s="97"/>
      <c r="S55" s="97"/>
      <c r="T55" s="97"/>
      <c r="U55" s="97"/>
      <c r="V55" s="97"/>
      <c r="W55" s="86"/>
      <c r="X55" s="86"/>
      <c r="Y55" s="97"/>
      <c r="Z55" s="96"/>
      <c r="AA55" s="86"/>
      <c r="AB55" s="99"/>
      <c r="AC55" s="97"/>
      <c r="AD55" s="97"/>
      <c r="AE55" s="96"/>
    </row>
    <row r="56" ht="15.75" customHeight="1">
      <c r="A56" s="91">
        <v>52.0</v>
      </c>
      <c r="B56" s="91">
        <v>9807.0</v>
      </c>
      <c r="C56" s="92">
        <v>9.11724104112E11</v>
      </c>
      <c r="D56" s="93" t="s">
        <v>149</v>
      </c>
      <c r="E56" s="94"/>
      <c r="F56" s="94"/>
      <c r="G56" s="77"/>
      <c r="H56" s="95">
        <v>32.0</v>
      </c>
      <c r="I56" s="94" t="s">
        <v>27</v>
      </c>
      <c r="J56" s="77"/>
      <c r="K56" s="77"/>
      <c r="M56" s="96"/>
      <c r="N56" s="97"/>
      <c r="O56" s="97"/>
      <c r="P56" s="96"/>
      <c r="Q56" s="86"/>
      <c r="R56" s="97"/>
      <c r="S56" s="97"/>
      <c r="T56" s="97"/>
      <c r="U56" s="97"/>
      <c r="V56" s="97"/>
      <c r="W56" s="86"/>
      <c r="X56" s="86"/>
      <c r="Y56" s="97"/>
      <c r="Z56" s="96"/>
      <c r="AA56" s="86"/>
      <c r="AB56" s="96"/>
      <c r="AC56" s="97"/>
      <c r="AD56" s="97"/>
      <c r="AE56" s="96"/>
    </row>
    <row r="57" ht="15.75" customHeight="1">
      <c r="A57" s="91">
        <v>53.0</v>
      </c>
      <c r="B57" s="91">
        <v>9925.0</v>
      </c>
      <c r="C57" s="92">
        <v>9.11724104113E11</v>
      </c>
      <c r="D57" s="93" t="s">
        <v>150</v>
      </c>
      <c r="E57" s="94"/>
      <c r="F57" s="94"/>
      <c r="G57" s="77"/>
      <c r="H57" s="95">
        <v>70.0</v>
      </c>
      <c r="I57" s="94">
        <v>75.0</v>
      </c>
      <c r="J57" s="77"/>
      <c r="K57" s="77"/>
      <c r="M57" s="96"/>
      <c r="N57" s="97"/>
      <c r="O57" s="97"/>
      <c r="P57" s="96"/>
      <c r="Q57" s="86"/>
      <c r="R57" s="97"/>
      <c r="S57" s="97"/>
      <c r="T57" s="97"/>
      <c r="U57" s="97"/>
      <c r="V57" s="97"/>
      <c r="W57" s="86"/>
      <c r="X57" s="86"/>
      <c r="Y57" s="97"/>
      <c r="Z57" s="96"/>
      <c r="AA57" s="86"/>
      <c r="AB57" s="96"/>
      <c r="AC57" s="97"/>
      <c r="AD57" s="97"/>
      <c r="AE57" s="99"/>
    </row>
    <row r="58" ht="15.75" customHeight="1">
      <c r="A58" s="91">
        <v>54.0</v>
      </c>
      <c r="B58" s="91">
        <v>9947.0</v>
      </c>
      <c r="C58" s="92">
        <v>9.11724104118E11</v>
      </c>
      <c r="D58" s="93" t="s">
        <v>151</v>
      </c>
      <c r="E58" s="94"/>
      <c r="F58" s="94"/>
      <c r="G58" s="77"/>
      <c r="H58" s="95">
        <v>54.0</v>
      </c>
      <c r="I58" s="94">
        <v>64.0</v>
      </c>
      <c r="J58" s="77"/>
      <c r="K58" s="77"/>
      <c r="M58" s="96"/>
      <c r="N58" s="97"/>
      <c r="O58" s="97"/>
      <c r="P58" s="96"/>
      <c r="Q58" s="86"/>
      <c r="R58" s="97"/>
      <c r="S58" s="97"/>
      <c r="T58" s="97"/>
      <c r="U58" s="97"/>
      <c r="V58" s="97"/>
      <c r="W58" s="86"/>
      <c r="X58" s="86"/>
      <c r="Y58" s="97"/>
      <c r="Z58" s="96"/>
      <c r="AA58" s="86"/>
      <c r="AB58" s="96"/>
      <c r="AC58" s="97"/>
      <c r="AD58" s="97"/>
      <c r="AE58" s="99"/>
    </row>
    <row r="59" ht="15.75" customHeight="1">
      <c r="A59" s="91">
        <v>55.0</v>
      </c>
      <c r="B59" s="91">
        <v>9684.0</v>
      </c>
      <c r="C59" s="100">
        <v>9.11724104119E11</v>
      </c>
      <c r="D59" s="93" t="s">
        <v>152</v>
      </c>
      <c r="E59" s="94"/>
      <c r="F59" s="94"/>
      <c r="G59" s="77"/>
      <c r="H59" s="95">
        <v>26.0</v>
      </c>
      <c r="I59" s="94">
        <v>12.0</v>
      </c>
      <c r="J59" s="77"/>
      <c r="K59" s="77"/>
      <c r="M59" s="96"/>
      <c r="N59" s="97"/>
      <c r="O59" s="97"/>
      <c r="P59" s="96"/>
      <c r="Q59" s="86"/>
      <c r="R59" s="97"/>
      <c r="S59" s="97"/>
      <c r="T59" s="97"/>
      <c r="U59" s="97"/>
      <c r="V59" s="97"/>
      <c r="W59" s="86"/>
      <c r="X59" s="86"/>
      <c r="Y59" s="97"/>
      <c r="Z59" s="96"/>
      <c r="AA59" s="86"/>
      <c r="AB59" s="96"/>
      <c r="AC59" s="97"/>
      <c r="AD59" s="97"/>
      <c r="AE59" s="96"/>
    </row>
    <row r="60" ht="15.75" customHeight="1">
      <c r="A60" s="91">
        <v>56.0</v>
      </c>
      <c r="B60" s="91">
        <v>9904.0</v>
      </c>
      <c r="C60" s="92">
        <v>9.11724104121E11</v>
      </c>
      <c r="D60" s="93" t="s">
        <v>153</v>
      </c>
      <c r="E60" s="94"/>
      <c r="F60" s="94"/>
      <c r="G60" s="77"/>
      <c r="H60" s="95">
        <v>50.0</v>
      </c>
      <c r="I60" s="94">
        <v>50.0</v>
      </c>
      <c r="J60" s="77"/>
      <c r="K60" s="77"/>
      <c r="M60" s="96"/>
      <c r="N60" s="97"/>
      <c r="O60" s="97"/>
      <c r="P60" s="96"/>
      <c r="Q60" s="86"/>
      <c r="R60" s="97"/>
      <c r="S60" s="97"/>
      <c r="T60" s="97"/>
      <c r="U60" s="97"/>
      <c r="V60" s="97"/>
      <c r="W60" s="86"/>
      <c r="X60" s="86"/>
      <c r="Y60" s="97"/>
      <c r="Z60" s="96"/>
      <c r="AA60" s="86"/>
      <c r="AB60" s="96"/>
      <c r="AC60" s="97"/>
      <c r="AD60" s="97"/>
      <c r="AE60" s="96"/>
    </row>
    <row r="61" ht="15.75" customHeight="1">
      <c r="A61" s="91">
        <v>57.0</v>
      </c>
      <c r="B61" s="91">
        <v>10025.0</v>
      </c>
      <c r="C61" s="92">
        <v>9.11724104123E11</v>
      </c>
      <c r="D61" s="93" t="s">
        <v>154</v>
      </c>
      <c r="E61" s="94"/>
      <c r="F61" s="94"/>
      <c r="G61" s="77"/>
      <c r="H61" s="95">
        <v>50.0</v>
      </c>
      <c r="I61" s="94">
        <v>50.0</v>
      </c>
      <c r="J61" s="77"/>
      <c r="K61" s="77"/>
      <c r="M61" s="96"/>
      <c r="N61" s="97"/>
      <c r="O61" s="97"/>
      <c r="P61" s="96"/>
      <c r="Q61" s="86"/>
      <c r="R61" s="97"/>
      <c r="S61" s="97"/>
      <c r="T61" s="97"/>
      <c r="U61" s="97"/>
      <c r="V61" s="97"/>
      <c r="W61" s="86"/>
      <c r="X61" s="86"/>
      <c r="Y61" s="97"/>
      <c r="Z61" s="96"/>
      <c r="AA61" s="86"/>
      <c r="AB61" s="96"/>
      <c r="AC61" s="97"/>
      <c r="AD61" s="97"/>
      <c r="AE61" s="96"/>
    </row>
    <row r="62" ht="15.75" customHeight="1">
      <c r="A62" s="91">
        <v>58.0</v>
      </c>
      <c r="B62" s="101">
        <v>10252.0</v>
      </c>
      <c r="C62" s="102"/>
      <c r="D62" s="103" t="s">
        <v>155</v>
      </c>
      <c r="E62" s="94"/>
      <c r="F62" s="94"/>
      <c r="G62" s="77"/>
      <c r="H62" s="104">
        <v>18.0</v>
      </c>
      <c r="I62" s="94">
        <v>50.0</v>
      </c>
      <c r="J62" s="77"/>
      <c r="K62" s="77"/>
      <c r="M62" s="96"/>
      <c r="N62" s="97"/>
      <c r="O62" s="97"/>
      <c r="P62" s="96"/>
      <c r="Q62" s="86"/>
      <c r="R62" s="97"/>
      <c r="S62" s="97"/>
      <c r="T62" s="97"/>
      <c r="U62" s="97"/>
      <c r="V62" s="97"/>
      <c r="W62" s="86"/>
      <c r="X62" s="86"/>
      <c r="Y62" s="97"/>
      <c r="Z62" s="96"/>
      <c r="AA62" s="86"/>
      <c r="AB62" s="96"/>
      <c r="AC62" s="97"/>
      <c r="AD62" s="97"/>
      <c r="AE62" s="99"/>
    </row>
    <row r="63" ht="15.75" customHeight="1">
      <c r="A63" s="91">
        <v>59.0</v>
      </c>
      <c r="B63" s="101">
        <v>10263.0</v>
      </c>
      <c r="C63" s="102"/>
      <c r="D63" s="105" t="s">
        <v>156</v>
      </c>
      <c r="E63" s="94"/>
      <c r="F63" s="94"/>
      <c r="G63" s="77"/>
      <c r="H63" s="104">
        <v>8.0</v>
      </c>
      <c r="I63" s="94">
        <v>30.0</v>
      </c>
      <c r="J63" s="77"/>
      <c r="K63" s="77"/>
      <c r="M63" s="96"/>
      <c r="N63" s="97"/>
      <c r="O63" s="97"/>
      <c r="P63" s="96"/>
      <c r="Q63" s="86"/>
      <c r="R63" s="97"/>
      <c r="S63" s="97"/>
      <c r="T63" s="97"/>
      <c r="U63" s="97"/>
      <c r="V63" s="97"/>
      <c r="W63" s="86"/>
      <c r="X63" s="86"/>
      <c r="Y63" s="97"/>
      <c r="Z63" s="96"/>
      <c r="AA63" s="86"/>
      <c r="AB63" s="96"/>
      <c r="AC63" s="97"/>
      <c r="AD63" s="97"/>
      <c r="AE63" s="96"/>
    </row>
    <row r="64" ht="15.75" customHeight="1">
      <c r="A64" s="91">
        <v>60.0</v>
      </c>
      <c r="B64" s="101">
        <v>10267.0</v>
      </c>
      <c r="C64" s="102"/>
      <c r="D64" s="105" t="s">
        <v>157</v>
      </c>
      <c r="E64" s="94"/>
      <c r="F64" s="94"/>
      <c r="G64" s="77"/>
      <c r="H64" s="104">
        <v>35.0</v>
      </c>
      <c r="I64" s="94">
        <v>50.0</v>
      </c>
      <c r="J64" s="77"/>
      <c r="K64" s="77"/>
      <c r="M64" s="96"/>
      <c r="N64" s="97"/>
      <c r="O64" s="97"/>
      <c r="P64" s="96"/>
      <c r="Q64" s="86"/>
      <c r="R64" s="97"/>
      <c r="S64" s="97"/>
      <c r="T64" s="97"/>
      <c r="U64" s="97"/>
      <c r="V64" s="97"/>
      <c r="W64" s="86"/>
      <c r="X64" s="86"/>
      <c r="Y64" s="97"/>
      <c r="Z64" s="96"/>
      <c r="AA64" s="86"/>
      <c r="AB64" s="96"/>
      <c r="AC64" s="97"/>
      <c r="AD64" s="97"/>
      <c r="AE64" s="96"/>
    </row>
    <row r="65" ht="15.75" customHeight="1">
      <c r="A65" s="91">
        <v>61.0</v>
      </c>
      <c r="B65" s="101">
        <v>10306.0</v>
      </c>
      <c r="C65" s="102"/>
      <c r="D65" s="105" t="s">
        <v>158</v>
      </c>
      <c r="E65" s="94"/>
      <c r="F65" s="94"/>
      <c r="G65" s="77"/>
      <c r="H65" s="104">
        <v>27.0</v>
      </c>
      <c r="I65" s="94">
        <v>1.0</v>
      </c>
      <c r="J65" s="77"/>
      <c r="K65" s="77"/>
      <c r="M65" s="96"/>
      <c r="N65" s="97"/>
      <c r="O65" s="97"/>
      <c r="P65" s="96"/>
      <c r="Q65" s="86"/>
      <c r="R65" s="97"/>
      <c r="S65" s="97"/>
      <c r="T65" s="97"/>
      <c r="U65" s="97"/>
      <c r="V65" s="97"/>
      <c r="W65" s="86"/>
      <c r="X65" s="86"/>
      <c r="Y65" s="97"/>
      <c r="Z65" s="96"/>
      <c r="AA65" s="86"/>
      <c r="AB65" s="96"/>
      <c r="AC65" s="97"/>
      <c r="AD65" s="97"/>
      <c r="AE65" s="96"/>
    </row>
    <row r="66" ht="15.75" customHeight="1">
      <c r="A66" s="91">
        <v>62.0</v>
      </c>
      <c r="B66" s="101">
        <v>10371.0</v>
      </c>
      <c r="C66" s="102"/>
      <c r="D66" s="105" t="s">
        <v>159</v>
      </c>
      <c r="E66" s="94"/>
      <c r="F66" s="94"/>
      <c r="G66" s="77"/>
      <c r="H66" s="104">
        <v>4.0</v>
      </c>
      <c r="I66" s="94">
        <v>1.0</v>
      </c>
      <c r="J66" s="77"/>
      <c r="K66" s="77"/>
      <c r="M66" s="96"/>
      <c r="N66" s="97"/>
      <c r="O66" s="97"/>
      <c r="P66" s="96"/>
      <c r="Q66" s="86"/>
      <c r="R66" s="97"/>
      <c r="S66" s="97"/>
      <c r="T66" s="97"/>
      <c r="U66" s="97"/>
      <c r="V66" s="97"/>
      <c r="W66" s="86"/>
      <c r="X66" s="86"/>
      <c r="Y66" s="97"/>
      <c r="Z66" s="96"/>
      <c r="AA66" s="86"/>
      <c r="AB66" s="96"/>
      <c r="AC66" s="97"/>
      <c r="AD66" s="97"/>
      <c r="AE66" s="96"/>
    </row>
    <row r="67" ht="15.75" customHeight="1">
      <c r="A67" s="91">
        <v>63.0</v>
      </c>
      <c r="B67" s="101">
        <v>10518.0</v>
      </c>
      <c r="C67" s="102"/>
      <c r="D67" s="105" t="s">
        <v>160</v>
      </c>
      <c r="E67" s="94"/>
      <c r="F67" s="94"/>
      <c r="G67" s="77"/>
      <c r="H67" s="104">
        <v>2.0</v>
      </c>
      <c r="I67" s="94"/>
      <c r="J67" s="77"/>
      <c r="K67" s="77"/>
      <c r="M67" s="96"/>
      <c r="N67" s="97"/>
      <c r="O67" s="97"/>
      <c r="P67" s="96"/>
      <c r="Q67" s="86"/>
      <c r="R67" s="97"/>
      <c r="S67" s="97"/>
      <c r="T67" s="97"/>
      <c r="U67" s="97"/>
      <c r="V67" s="97"/>
      <c r="W67" s="86"/>
      <c r="X67" s="86"/>
      <c r="Y67" s="97"/>
      <c r="Z67" s="96"/>
      <c r="AA67" s="86"/>
      <c r="AB67" s="96"/>
      <c r="AC67" s="97"/>
      <c r="AD67" s="97"/>
      <c r="AE67" s="96"/>
    </row>
    <row r="68" ht="15.75" customHeight="1">
      <c r="A68" s="54" t="s">
        <v>83</v>
      </c>
      <c r="B68" s="55"/>
      <c r="C68" s="55"/>
      <c r="D68" s="56"/>
      <c r="E68" s="94">
        <v>64.0</v>
      </c>
      <c r="F68" s="94">
        <v>64.0</v>
      </c>
      <c r="G68" s="94">
        <v>64.0</v>
      </c>
      <c r="H68" s="94">
        <v>64.0</v>
      </c>
      <c r="I68" s="94">
        <v>64.0</v>
      </c>
      <c r="J68" s="94">
        <v>64.0</v>
      </c>
      <c r="K68" s="7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6"/>
      <c r="AA68" s="86"/>
      <c r="AB68" s="96"/>
      <c r="AC68" s="97"/>
      <c r="AD68" s="97"/>
      <c r="AE68" s="96"/>
    </row>
    <row r="69" ht="15.75" customHeight="1">
      <c r="A69" s="54" t="s">
        <v>84</v>
      </c>
      <c r="B69" s="55"/>
      <c r="C69" s="55"/>
      <c r="D69" s="56"/>
      <c r="E69" s="106">
        <f t="shared" ref="E69:K69" si="1">E68-E70</f>
        <v>64</v>
      </c>
      <c r="F69" s="106">
        <f t="shared" si="1"/>
        <v>64</v>
      </c>
      <c r="G69" s="106">
        <f t="shared" si="1"/>
        <v>64</v>
      </c>
      <c r="H69" s="106">
        <f t="shared" si="1"/>
        <v>63</v>
      </c>
      <c r="I69" s="106">
        <f t="shared" si="1"/>
        <v>62</v>
      </c>
      <c r="J69" s="106">
        <f t="shared" si="1"/>
        <v>64</v>
      </c>
      <c r="K69" s="106">
        <f t="shared" si="1"/>
        <v>0</v>
      </c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6"/>
      <c r="AA69" s="86"/>
      <c r="AB69" s="96"/>
      <c r="AC69" s="97"/>
      <c r="AD69" s="97"/>
      <c r="AE69" s="96"/>
    </row>
    <row r="70" ht="15.75" customHeight="1">
      <c r="A70" s="54" t="s">
        <v>85</v>
      </c>
      <c r="B70" s="55"/>
      <c r="C70" s="55"/>
      <c r="D70" s="56"/>
      <c r="E70" s="106">
        <f t="shared" ref="E70:K70" si="2">COUNTIF(E5:E67,"AB")</f>
        <v>0</v>
      </c>
      <c r="F70" s="106">
        <f t="shared" si="2"/>
        <v>0</v>
      </c>
      <c r="G70" s="106">
        <f t="shared" si="2"/>
        <v>0</v>
      </c>
      <c r="H70" s="106">
        <f t="shared" si="2"/>
        <v>1</v>
      </c>
      <c r="I70" s="106">
        <f t="shared" si="2"/>
        <v>2</v>
      </c>
      <c r="J70" s="106">
        <f t="shared" si="2"/>
        <v>0</v>
      </c>
      <c r="K70" s="106">
        <f t="shared" si="2"/>
        <v>0</v>
      </c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6"/>
      <c r="AA70" s="86"/>
      <c r="AB70" s="96"/>
      <c r="AC70" s="97"/>
      <c r="AD70" s="97"/>
      <c r="AE70" s="96"/>
    </row>
    <row r="71" ht="15.75" customHeight="1">
      <c r="A71" s="54" t="s">
        <v>86</v>
      </c>
      <c r="B71" s="55"/>
      <c r="C71" s="55"/>
      <c r="D71" s="56"/>
      <c r="E71" s="106">
        <f t="shared" ref="E71:G71" si="3">COUNTIF(E5:E67,"&gt;50")</f>
        <v>19</v>
      </c>
      <c r="F71" s="106">
        <f t="shared" si="3"/>
        <v>0</v>
      </c>
      <c r="G71" s="106">
        <f t="shared" si="3"/>
        <v>0</v>
      </c>
      <c r="H71" s="106">
        <f t="shared" ref="H71:I71" si="4">COUNTIF(H5:H67,"&gt;=50")</f>
        <v>32</v>
      </c>
      <c r="I71" s="106">
        <f t="shared" si="4"/>
        <v>37</v>
      </c>
      <c r="J71" s="106">
        <f t="shared" ref="J71:K71" si="5">COUNTIF(J5:J67,"&gt;50")</f>
        <v>0</v>
      </c>
      <c r="K71" s="106">
        <f t="shared" si="5"/>
        <v>0</v>
      </c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8"/>
      <c r="AA71" s="109"/>
      <c r="AB71" s="108"/>
      <c r="AC71" s="107"/>
      <c r="AD71" s="72"/>
      <c r="AE71" s="72"/>
    </row>
    <row r="72" ht="15.75" customHeight="1">
      <c r="A72" s="54" t="s">
        <v>87</v>
      </c>
      <c r="B72" s="55"/>
      <c r="C72" s="55"/>
      <c r="D72" s="56"/>
      <c r="E72" s="106">
        <f t="shared" ref="E72:I72" si="6">E69-E71</f>
        <v>45</v>
      </c>
      <c r="F72" s="106">
        <f t="shared" si="6"/>
        <v>64</v>
      </c>
      <c r="G72" s="106">
        <f t="shared" si="6"/>
        <v>64</v>
      </c>
      <c r="H72" s="106">
        <f t="shared" si="6"/>
        <v>31</v>
      </c>
      <c r="I72" s="106">
        <f t="shared" si="6"/>
        <v>25</v>
      </c>
      <c r="J72" s="106">
        <f t="shared" ref="J72:K72" si="7">J68-J71</f>
        <v>64</v>
      </c>
      <c r="K72" s="106">
        <f t="shared" si="7"/>
        <v>0</v>
      </c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8"/>
      <c r="AA72" s="109"/>
      <c r="AB72" s="108"/>
      <c r="AC72" s="107"/>
      <c r="AD72" s="72"/>
      <c r="AE72" s="72"/>
    </row>
    <row r="73" ht="15.75" customHeight="1">
      <c r="A73" s="54" t="s">
        <v>88</v>
      </c>
      <c r="B73" s="55"/>
      <c r="C73" s="55"/>
      <c r="D73" s="56"/>
      <c r="E73" s="110">
        <f t="shared" ref="E73:K73" si="8">(E71/E68)*100</f>
        <v>29.6875</v>
      </c>
      <c r="F73" s="110">
        <f t="shared" si="8"/>
        <v>0</v>
      </c>
      <c r="G73" s="110">
        <f t="shared" si="8"/>
        <v>0</v>
      </c>
      <c r="H73" s="110">
        <f t="shared" si="8"/>
        <v>50</v>
      </c>
      <c r="I73" s="110">
        <f t="shared" si="8"/>
        <v>57.8125</v>
      </c>
      <c r="J73" s="110">
        <f t="shared" si="8"/>
        <v>0</v>
      </c>
      <c r="K73" s="110" t="str">
        <f t="shared" si="8"/>
        <v>#DIV/0!</v>
      </c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8"/>
      <c r="AA73" s="109"/>
      <c r="AB73" s="108"/>
      <c r="AC73" s="107"/>
      <c r="AD73" s="72"/>
      <c r="AE73" s="72"/>
    </row>
    <row r="74" ht="15.75" customHeight="1">
      <c r="A74" s="62" t="s">
        <v>161</v>
      </c>
      <c r="B74" s="55"/>
      <c r="C74" s="55"/>
      <c r="D74" s="56"/>
      <c r="E74" s="94">
        <f t="shared" ref="E74:K74" si="9">COUNTIF(E5:E67,"&lt;50")</f>
        <v>5</v>
      </c>
      <c r="F74" s="94">
        <f t="shared" si="9"/>
        <v>0</v>
      </c>
      <c r="G74" s="94">
        <f t="shared" si="9"/>
        <v>0</v>
      </c>
      <c r="H74" s="94">
        <f t="shared" si="9"/>
        <v>30</v>
      </c>
      <c r="I74" s="94">
        <f t="shared" si="9"/>
        <v>23</v>
      </c>
      <c r="J74" s="94">
        <f t="shared" si="9"/>
        <v>0</v>
      </c>
      <c r="K74" s="94">
        <f t="shared" si="9"/>
        <v>0</v>
      </c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8"/>
      <c r="AA74" s="109"/>
      <c r="AB74" s="108"/>
      <c r="AC74" s="107"/>
      <c r="AD74" s="72"/>
      <c r="AE74" s="72"/>
    </row>
    <row r="75" ht="15.75" customHeight="1">
      <c r="A75" s="64" t="s">
        <v>91</v>
      </c>
      <c r="B75" s="55"/>
      <c r="C75" s="55"/>
      <c r="D75" s="56"/>
      <c r="E75" s="94">
        <f t="shared" ref="E75:J75" si="10">COUNTIFS(E5:E67, "&gt;=50",E5:E67, "&lt;=55")</f>
        <v>1</v>
      </c>
      <c r="F75" s="94">
        <f t="shared" si="10"/>
        <v>0</v>
      </c>
      <c r="G75" s="94">
        <f t="shared" si="10"/>
        <v>0</v>
      </c>
      <c r="H75" s="94">
        <f t="shared" si="10"/>
        <v>17</v>
      </c>
      <c r="I75" s="94">
        <f t="shared" si="10"/>
        <v>11</v>
      </c>
      <c r="J75" s="94">
        <f t="shared" si="10"/>
        <v>0</v>
      </c>
      <c r="K75" s="94">
        <f>COUNTIFS(K5:K67, "&gt;=50",K5:K67, "&lt;=60")</f>
        <v>0</v>
      </c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8"/>
      <c r="AA75" s="109"/>
      <c r="AB75" s="108"/>
      <c r="AC75" s="107"/>
      <c r="AD75" s="72"/>
      <c r="AE75" s="72"/>
    </row>
    <row r="76" ht="15.75" customHeight="1">
      <c r="A76" s="64" t="s">
        <v>92</v>
      </c>
      <c r="B76" s="55"/>
      <c r="C76" s="55"/>
      <c r="D76" s="56"/>
      <c r="E76" s="94">
        <f t="shared" ref="E76:J76" si="11">COUNTIFS(E5:E67, "&gt;=56",E5:E67, "&lt;=60")</f>
        <v>3</v>
      </c>
      <c r="F76" s="94">
        <f t="shared" si="11"/>
        <v>0</v>
      </c>
      <c r="G76" s="94">
        <f t="shared" si="11"/>
        <v>0</v>
      </c>
      <c r="H76" s="94">
        <f t="shared" si="11"/>
        <v>3</v>
      </c>
      <c r="I76" s="94">
        <f t="shared" si="11"/>
        <v>5</v>
      </c>
      <c r="J76" s="94">
        <f t="shared" si="11"/>
        <v>0</v>
      </c>
      <c r="K76" s="94">
        <f>COUNTIFS(K5:K67, "&gt;=61",K5:K67, "&lt;=70")</f>
        <v>0</v>
      </c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8"/>
      <c r="AA76" s="109"/>
      <c r="AB76" s="108"/>
      <c r="AC76" s="107"/>
      <c r="AD76" s="72"/>
      <c r="AE76" s="72"/>
    </row>
    <row r="77" ht="15.75" customHeight="1">
      <c r="A77" s="64" t="s">
        <v>93</v>
      </c>
      <c r="B77" s="55"/>
      <c r="C77" s="55"/>
      <c r="D77" s="56"/>
      <c r="E77" s="94">
        <f t="shared" ref="E77:J77" si="12">COUNTIFS(E5:E67, "&gt;=61",E5:E67, "&lt;=70")</f>
        <v>2</v>
      </c>
      <c r="F77" s="94">
        <f t="shared" si="12"/>
        <v>0</v>
      </c>
      <c r="G77" s="94">
        <f t="shared" si="12"/>
        <v>0</v>
      </c>
      <c r="H77" s="94">
        <f t="shared" si="12"/>
        <v>7</v>
      </c>
      <c r="I77" s="94">
        <f t="shared" si="12"/>
        <v>9</v>
      </c>
      <c r="J77" s="94">
        <f t="shared" si="12"/>
        <v>0</v>
      </c>
      <c r="K77" s="94">
        <f>COUNTIFS(K5:K67, "&gt;=71",K5:K67, "&lt;=80")</f>
        <v>0</v>
      </c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8"/>
      <c r="AA77" s="109"/>
      <c r="AB77" s="108"/>
      <c r="AC77" s="107"/>
      <c r="AD77" s="72"/>
      <c r="AE77" s="72"/>
    </row>
    <row r="78" ht="15.75" customHeight="1">
      <c r="A78" s="64" t="s">
        <v>94</v>
      </c>
      <c r="B78" s="55"/>
      <c r="C78" s="55"/>
      <c r="D78" s="56"/>
      <c r="E78" s="94">
        <f t="shared" ref="E78:J78" si="13">COUNTIFS(E5:E67, "&gt;=71",E5:E67, "&lt;=80")</f>
        <v>5</v>
      </c>
      <c r="F78" s="94">
        <f t="shared" si="13"/>
        <v>0</v>
      </c>
      <c r="G78" s="94">
        <f t="shared" si="13"/>
        <v>0</v>
      </c>
      <c r="H78" s="94">
        <f t="shared" si="13"/>
        <v>5</v>
      </c>
      <c r="I78" s="94">
        <f t="shared" si="13"/>
        <v>10</v>
      </c>
      <c r="J78" s="94">
        <f t="shared" si="13"/>
        <v>0</v>
      </c>
      <c r="K78" s="94">
        <f>COUNTIFS(K5:K67, "&gt;=81",K5:K67, "&lt;=90")</f>
        <v>0</v>
      </c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8"/>
      <c r="AA78" s="109"/>
      <c r="AB78" s="108"/>
      <c r="AC78" s="107"/>
      <c r="AD78" s="72"/>
      <c r="AE78" s="72"/>
    </row>
    <row r="79" ht="15.75" customHeight="1">
      <c r="A79" s="64" t="s">
        <v>95</v>
      </c>
      <c r="B79" s="55"/>
      <c r="C79" s="55"/>
      <c r="D79" s="56"/>
      <c r="E79" s="94">
        <f t="shared" ref="E79:J79" si="14">COUNTIFS(E5:E67, "&gt;=81",E5:E67, "&lt;=90")</f>
        <v>6</v>
      </c>
      <c r="F79" s="94">
        <f t="shared" si="14"/>
        <v>0</v>
      </c>
      <c r="G79" s="94">
        <f t="shared" si="14"/>
        <v>0</v>
      </c>
      <c r="H79" s="94">
        <f t="shared" si="14"/>
        <v>0</v>
      </c>
      <c r="I79" s="94">
        <f t="shared" si="14"/>
        <v>2</v>
      </c>
      <c r="J79" s="94">
        <f t="shared" si="14"/>
        <v>0</v>
      </c>
      <c r="K79" s="94">
        <f>COUNTIFS(K5:K67, "&gt;=91",K5:K67, "&lt;=100")</f>
        <v>0</v>
      </c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8"/>
      <c r="AA79" s="109"/>
      <c r="AB79" s="108"/>
      <c r="AC79" s="107"/>
      <c r="AD79" s="72"/>
      <c r="AE79" s="72"/>
    </row>
    <row r="80" ht="15.75" customHeight="1">
      <c r="A80" s="64" t="s">
        <v>96</v>
      </c>
      <c r="B80" s="55"/>
      <c r="C80" s="55"/>
      <c r="D80" s="56"/>
      <c r="E80" s="94">
        <f t="shared" ref="E80:J80" si="15">COUNTIFS(E6:E68, "&gt;=91")</f>
        <v>2</v>
      </c>
      <c r="F80" s="94">
        <f t="shared" si="15"/>
        <v>0</v>
      </c>
      <c r="G80" s="94">
        <f t="shared" si="15"/>
        <v>0</v>
      </c>
      <c r="H80" s="94">
        <f t="shared" si="15"/>
        <v>0</v>
      </c>
      <c r="I80" s="94">
        <f t="shared" si="15"/>
        <v>0</v>
      </c>
      <c r="J80" s="94">
        <f t="shared" si="15"/>
        <v>0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5.75" customHeight="1">
      <c r="A81" s="68"/>
      <c r="B81" s="68"/>
      <c r="C81" s="69"/>
      <c r="E81" s="70"/>
      <c r="F81" s="71"/>
      <c r="I81" s="71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5.75" customHeight="1">
      <c r="A82" s="68"/>
      <c r="B82" s="68"/>
      <c r="C82" s="69"/>
      <c r="E82" s="70"/>
      <c r="F82" s="71"/>
      <c r="I82" s="71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5.75" customHeight="1">
      <c r="A83" s="68"/>
      <c r="B83" s="68"/>
      <c r="C83" s="69"/>
      <c r="E83" s="70"/>
      <c r="F83" s="71"/>
      <c r="I83" s="71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5.75" customHeight="1">
      <c r="A84" s="68"/>
      <c r="B84" s="68"/>
      <c r="C84" s="69"/>
      <c r="E84" s="70"/>
      <c r="F84" s="71"/>
      <c r="I84" s="71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5.75" customHeight="1">
      <c r="A85" s="68"/>
      <c r="B85" s="68"/>
      <c r="C85" s="69"/>
      <c r="E85" s="70"/>
      <c r="F85" s="71"/>
      <c r="I85" s="71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5.75" customHeight="1">
      <c r="A86" s="68"/>
      <c r="B86" s="68"/>
      <c r="C86" s="69"/>
      <c r="E86" s="70"/>
      <c r="F86" s="71"/>
      <c r="I86" s="71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</row>
    <row r="87" ht="15.75" customHeight="1">
      <c r="A87" s="68"/>
      <c r="B87" s="68"/>
      <c r="C87" s="69"/>
      <c r="E87" s="70"/>
      <c r="F87" s="71"/>
      <c r="I87" s="71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5.75" customHeight="1">
      <c r="A88" s="68"/>
      <c r="B88" s="68"/>
      <c r="C88" s="69"/>
      <c r="E88" s="70"/>
      <c r="F88" s="71"/>
      <c r="I88" s="71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</row>
    <row r="89" ht="15.75" customHeight="1">
      <c r="A89" s="68"/>
      <c r="B89" s="68"/>
      <c r="C89" s="69"/>
      <c r="E89" s="70"/>
      <c r="F89" s="71"/>
      <c r="I89" s="71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</row>
    <row r="90" ht="15.75" customHeight="1">
      <c r="A90" s="68"/>
      <c r="B90" s="68"/>
      <c r="C90" s="69"/>
      <c r="E90" s="70"/>
      <c r="F90" s="71"/>
      <c r="I90" s="71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</row>
    <row r="91" ht="15.75" customHeight="1">
      <c r="A91" s="68"/>
      <c r="B91" s="68"/>
      <c r="C91" s="69"/>
      <c r="E91" s="70"/>
      <c r="F91" s="71"/>
      <c r="I91" s="71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</row>
    <row r="92" ht="15.75" customHeight="1">
      <c r="A92" s="68"/>
      <c r="B92" s="68"/>
      <c r="C92" s="69"/>
      <c r="E92" s="70"/>
      <c r="F92" s="71"/>
      <c r="I92" s="71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</row>
    <row r="93" ht="15.75" customHeight="1">
      <c r="A93" s="68"/>
      <c r="B93" s="68"/>
      <c r="C93" s="69"/>
      <c r="E93" s="70"/>
      <c r="F93" s="71"/>
      <c r="I93" s="71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</row>
    <row r="94" ht="15.75" customHeight="1">
      <c r="A94" s="68"/>
      <c r="B94" s="68"/>
      <c r="C94" s="69"/>
      <c r="E94" s="70"/>
      <c r="F94" s="71"/>
      <c r="I94" s="71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</row>
    <row r="95" ht="15.75" customHeight="1">
      <c r="A95" s="68"/>
      <c r="B95" s="68"/>
      <c r="C95" s="69"/>
      <c r="E95" s="70"/>
      <c r="F95" s="71"/>
      <c r="I95" s="71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</row>
    <row r="96" ht="15.75" customHeight="1">
      <c r="A96" s="68"/>
      <c r="B96" s="68"/>
      <c r="C96" s="69"/>
      <c r="E96" s="70"/>
      <c r="F96" s="71"/>
      <c r="G96" s="111"/>
      <c r="H96" s="112"/>
      <c r="I96" s="112"/>
      <c r="J96" s="112"/>
      <c r="K96" s="112"/>
      <c r="L96" s="113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</row>
    <row r="97" ht="15.75" customHeight="1">
      <c r="A97" s="68"/>
      <c r="B97" s="68"/>
      <c r="C97" s="69"/>
      <c r="E97" s="70"/>
      <c r="F97" s="71"/>
      <c r="G97" s="114"/>
      <c r="H97" s="115"/>
      <c r="I97" s="115"/>
      <c r="J97" s="115"/>
      <c r="K97" s="115"/>
      <c r="L97" s="116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5.75" customHeight="1">
      <c r="A98" s="68"/>
      <c r="B98" s="68"/>
      <c r="C98" s="69"/>
      <c r="E98" s="70"/>
      <c r="F98" s="71"/>
      <c r="G98" s="117"/>
      <c r="H98" s="118"/>
      <c r="I98" s="118"/>
      <c r="J98" s="118"/>
      <c r="K98" s="118"/>
      <c r="L98" s="119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</row>
    <row r="99" ht="15.75" customHeight="1">
      <c r="A99" s="68"/>
      <c r="B99" s="68"/>
      <c r="C99" s="69"/>
      <c r="E99" s="70"/>
      <c r="F99" s="71"/>
      <c r="G99" s="120"/>
      <c r="H99" s="121"/>
      <c r="I99" s="121"/>
      <c r="J99" s="122"/>
      <c r="K99" s="122"/>
      <c r="L99" s="123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5.75" customHeight="1">
      <c r="A100" s="68"/>
      <c r="B100" s="68"/>
      <c r="C100" s="69"/>
      <c r="E100" s="70"/>
      <c r="F100" s="71"/>
      <c r="G100" s="124"/>
      <c r="H100" s="125"/>
      <c r="I100" s="125"/>
      <c r="J100" s="126"/>
      <c r="K100" s="126"/>
      <c r="L100" s="127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5.75" customHeight="1">
      <c r="A101" s="68"/>
      <c r="B101" s="68"/>
      <c r="C101" s="69"/>
      <c r="E101" s="70"/>
      <c r="F101" s="71"/>
      <c r="G101" s="124"/>
      <c r="H101" s="125"/>
      <c r="I101" s="125"/>
      <c r="J101" s="126"/>
      <c r="K101" s="126"/>
      <c r="L101" s="127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5.75" customHeight="1">
      <c r="A102" s="68"/>
      <c r="B102" s="68"/>
      <c r="C102" s="69"/>
      <c r="E102" s="70"/>
      <c r="F102" s="71"/>
      <c r="G102" s="124"/>
      <c r="H102" s="125"/>
      <c r="I102" s="125"/>
      <c r="J102" s="126"/>
      <c r="K102" s="126"/>
      <c r="L102" s="127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5.75" customHeight="1">
      <c r="A103" s="68"/>
      <c r="B103" s="68"/>
      <c r="C103" s="69"/>
      <c r="E103" s="70"/>
      <c r="F103" s="71"/>
      <c r="G103" s="124"/>
      <c r="H103" s="125"/>
      <c r="I103" s="125"/>
      <c r="J103" s="126"/>
      <c r="K103" s="126"/>
      <c r="L103" s="127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5.75" customHeight="1">
      <c r="A104" s="68"/>
      <c r="B104" s="68"/>
      <c r="C104" s="69"/>
      <c r="E104" s="70"/>
      <c r="F104" s="71"/>
      <c r="G104" s="124"/>
      <c r="H104" s="125"/>
      <c r="I104" s="125"/>
      <c r="J104" s="126"/>
      <c r="K104" s="126"/>
      <c r="L104" s="127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5.75" customHeight="1">
      <c r="A105" s="68"/>
      <c r="B105" s="68"/>
      <c r="C105" s="69"/>
      <c r="E105" s="70"/>
      <c r="F105" s="71"/>
      <c r="G105" s="124"/>
      <c r="H105" s="125"/>
      <c r="I105" s="125"/>
      <c r="J105" s="126"/>
      <c r="K105" s="126"/>
      <c r="L105" s="127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5.75" customHeight="1">
      <c r="A106" s="68"/>
      <c r="B106" s="68"/>
      <c r="C106" s="69"/>
      <c r="E106" s="70"/>
      <c r="F106" s="71"/>
      <c r="G106" s="124"/>
      <c r="H106" s="125"/>
      <c r="I106" s="125"/>
      <c r="J106" s="126"/>
      <c r="K106" s="126"/>
      <c r="L106" s="127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5.75" customHeight="1">
      <c r="A107" s="68"/>
      <c r="B107" s="68"/>
      <c r="C107" s="69"/>
      <c r="E107" s="70"/>
      <c r="F107" s="71"/>
      <c r="G107" s="124"/>
      <c r="H107" s="125"/>
      <c r="I107" s="125"/>
      <c r="J107" s="126"/>
      <c r="K107" s="126"/>
      <c r="L107" s="127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5.75" customHeight="1">
      <c r="A108" s="68"/>
      <c r="B108" s="68"/>
      <c r="C108" s="69"/>
      <c r="E108" s="70"/>
      <c r="F108" s="71"/>
      <c r="G108" s="124"/>
      <c r="H108" s="125"/>
      <c r="I108" s="125"/>
      <c r="J108" s="126"/>
      <c r="K108" s="126"/>
      <c r="L108" s="127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5.75" customHeight="1">
      <c r="A109" s="68"/>
      <c r="B109" s="68"/>
      <c r="C109" s="69"/>
      <c r="E109" s="70"/>
      <c r="F109" s="71"/>
      <c r="G109" s="124"/>
      <c r="H109" s="125"/>
      <c r="I109" s="125"/>
      <c r="J109" s="126"/>
      <c r="K109" s="126"/>
      <c r="L109" s="127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5.75" customHeight="1">
      <c r="A110" s="68"/>
      <c r="B110" s="68"/>
      <c r="C110" s="69"/>
      <c r="E110" s="70"/>
      <c r="F110" s="71"/>
      <c r="G110" s="124"/>
      <c r="H110" s="125"/>
      <c r="I110" s="125"/>
      <c r="J110" s="126"/>
      <c r="K110" s="126"/>
      <c r="L110" s="127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5.75" customHeight="1">
      <c r="A111" s="68"/>
      <c r="B111" s="68"/>
      <c r="C111" s="69"/>
      <c r="E111" s="70"/>
      <c r="F111" s="71"/>
      <c r="G111" s="124"/>
      <c r="H111" s="125"/>
      <c r="I111" s="125"/>
      <c r="J111" s="126"/>
      <c r="K111" s="126"/>
      <c r="L111" s="127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5.75" customHeight="1">
      <c r="A112" s="68"/>
      <c r="B112" s="68"/>
      <c r="C112" s="69"/>
      <c r="E112" s="70"/>
      <c r="F112" s="71"/>
      <c r="G112" s="124"/>
      <c r="H112" s="125"/>
      <c r="I112" s="125"/>
      <c r="J112" s="126"/>
      <c r="K112" s="126"/>
      <c r="L112" s="127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</row>
    <row r="113" ht="15.75" customHeight="1">
      <c r="A113" s="68"/>
      <c r="B113" s="68"/>
      <c r="C113" s="69"/>
      <c r="E113" s="70"/>
      <c r="F113" s="71"/>
      <c r="G113" s="124"/>
      <c r="H113" s="125"/>
      <c r="I113" s="125"/>
      <c r="J113" s="126"/>
      <c r="K113" s="126"/>
      <c r="L113" s="127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</row>
    <row r="114" ht="15.75" customHeight="1">
      <c r="A114" s="68"/>
      <c r="B114" s="68"/>
      <c r="C114" s="69"/>
      <c r="E114" s="70"/>
      <c r="F114" s="71"/>
      <c r="G114" s="124"/>
      <c r="H114" s="125"/>
      <c r="I114" s="125"/>
      <c r="J114" s="126"/>
      <c r="K114" s="126"/>
      <c r="L114" s="127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 ht="15.75" customHeight="1">
      <c r="A115" s="68"/>
      <c r="B115" s="68"/>
      <c r="C115" s="69"/>
      <c r="E115" s="70"/>
      <c r="F115" s="71"/>
      <c r="G115" s="124"/>
      <c r="H115" s="125"/>
      <c r="I115" s="125"/>
      <c r="J115" s="126"/>
      <c r="K115" s="126"/>
      <c r="L115" s="127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</row>
    <row r="116" ht="15.75" customHeight="1">
      <c r="A116" s="68"/>
      <c r="B116" s="68"/>
      <c r="C116" s="69"/>
      <c r="E116" s="70"/>
      <c r="F116" s="71"/>
      <c r="G116" s="124"/>
      <c r="H116" s="125"/>
      <c r="I116" s="125"/>
      <c r="J116" s="126"/>
      <c r="K116" s="126"/>
      <c r="L116" s="127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</row>
    <row r="117" ht="15.75" customHeight="1">
      <c r="A117" s="68"/>
      <c r="B117" s="68"/>
      <c r="C117" s="69"/>
      <c r="E117" s="70"/>
      <c r="F117" s="71"/>
      <c r="G117" s="124"/>
      <c r="H117" s="125"/>
      <c r="I117" s="125"/>
      <c r="J117" s="126"/>
      <c r="K117" s="126"/>
      <c r="L117" s="127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5.75" customHeight="1">
      <c r="A118" s="68"/>
      <c r="B118" s="68"/>
      <c r="C118" s="69"/>
      <c r="E118" s="70"/>
      <c r="F118" s="71"/>
      <c r="G118" s="124"/>
      <c r="H118" s="125"/>
      <c r="I118" s="125"/>
      <c r="J118" s="126"/>
      <c r="K118" s="126"/>
      <c r="L118" s="127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</row>
    <row r="119" ht="15.75" customHeight="1">
      <c r="A119" s="68"/>
      <c r="B119" s="68"/>
      <c r="C119" s="69"/>
      <c r="E119" s="70"/>
      <c r="F119" s="71"/>
      <c r="G119" s="124"/>
      <c r="H119" s="125"/>
      <c r="I119" s="125"/>
      <c r="J119" s="126"/>
      <c r="K119" s="126"/>
      <c r="L119" s="127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5.75" customHeight="1">
      <c r="A120" s="68"/>
      <c r="B120" s="68"/>
      <c r="C120" s="69"/>
      <c r="E120" s="70"/>
      <c r="F120" s="71"/>
      <c r="G120" s="124"/>
      <c r="H120" s="125"/>
      <c r="I120" s="125"/>
      <c r="J120" s="126"/>
      <c r="K120" s="126"/>
      <c r="L120" s="127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</row>
    <row r="121" ht="15.75" customHeight="1">
      <c r="A121" s="68"/>
      <c r="B121" s="68"/>
      <c r="C121" s="69"/>
      <c r="E121" s="70"/>
      <c r="F121" s="71"/>
      <c r="G121" s="124"/>
      <c r="H121" s="125"/>
      <c r="I121" s="125"/>
      <c r="J121" s="126"/>
      <c r="K121" s="126"/>
      <c r="L121" s="127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5.75" customHeight="1">
      <c r="A122" s="68"/>
      <c r="B122" s="68"/>
      <c r="C122" s="69"/>
      <c r="E122" s="70"/>
      <c r="F122" s="71"/>
      <c r="G122" s="124"/>
      <c r="H122" s="125"/>
      <c r="I122" s="125"/>
      <c r="J122" s="126"/>
      <c r="K122" s="126"/>
      <c r="L122" s="127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5.75" customHeight="1">
      <c r="A123" s="68"/>
      <c r="B123" s="68"/>
      <c r="C123" s="69"/>
      <c r="E123" s="70"/>
      <c r="F123" s="71"/>
      <c r="G123" s="124"/>
      <c r="H123" s="125"/>
      <c r="I123" s="125"/>
      <c r="J123" s="126"/>
      <c r="K123" s="126"/>
      <c r="L123" s="127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5.75" customHeight="1">
      <c r="A124" s="68"/>
      <c r="B124" s="68"/>
      <c r="C124" s="69"/>
      <c r="E124" s="70"/>
      <c r="F124" s="71"/>
      <c r="G124" s="124"/>
      <c r="H124" s="125"/>
      <c r="I124" s="125"/>
      <c r="J124" s="126"/>
      <c r="K124" s="126"/>
      <c r="L124" s="127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5.75" customHeight="1">
      <c r="A125" s="68"/>
      <c r="B125" s="68"/>
      <c r="C125" s="69"/>
      <c r="E125" s="70"/>
      <c r="F125" s="71"/>
      <c r="G125" s="124"/>
      <c r="H125" s="125"/>
      <c r="I125" s="125"/>
      <c r="J125" s="126"/>
      <c r="K125" s="126"/>
      <c r="L125" s="127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5.75" customHeight="1">
      <c r="A126" s="68"/>
      <c r="B126" s="68"/>
      <c r="C126" s="69"/>
      <c r="E126" s="70"/>
      <c r="F126" s="71"/>
      <c r="G126" s="124"/>
      <c r="H126" s="125"/>
      <c r="I126" s="125"/>
      <c r="J126" s="126"/>
      <c r="K126" s="126"/>
      <c r="L126" s="127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5.75" customHeight="1">
      <c r="A127" s="68"/>
      <c r="B127" s="68"/>
      <c r="C127" s="69"/>
      <c r="E127" s="70"/>
      <c r="F127" s="71"/>
      <c r="G127" s="124"/>
      <c r="H127" s="125"/>
      <c r="I127" s="125"/>
      <c r="J127" s="126"/>
      <c r="K127" s="126"/>
      <c r="L127" s="127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</row>
    <row r="128" ht="15.75" customHeight="1">
      <c r="A128" s="68"/>
      <c r="B128" s="68"/>
      <c r="C128" s="69"/>
      <c r="E128" s="70"/>
      <c r="F128" s="71"/>
      <c r="G128" s="124"/>
      <c r="H128" s="125"/>
      <c r="I128" s="125"/>
      <c r="J128" s="126"/>
      <c r="K128" s="126"/>
      <c r="L128" s="127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5.75" customHeight="1">
      <c r="A129" s="68"/>
      <c r="B129" s="68"/>
      <c r="C129" s="69"/>
      <c r="E129" s="70"/>
      <c r="F129" s="71"/>
      <c r="G129" s="124"/>
      <c r="H129" s="125"/>
      <c r="I129" s="125"/>
      <c r="J129" s="126"/>
      <c r="K129" s="126"/>
      <c r="L129" s="127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5.75" customHeight="1">
      <c r="A130" s="68"/>
      <c r="B130" s="68"/>
      <c r="C130" s="69"/>
      <c r="E130" s="70"/>
      <c r="F130" s="71"/>
      <c r="G130" s="124"/>
      <c r="H130" s="125"/>
      <c r="I130" s="125"/>
      <c r="J130" s="126"/>
      <c r="K130" s="126"/>
      <c r="L130" s="127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5.75" customHeight="1">
      <c r="A131" s="68"/>
      <c r="B131" s="68"/>
      <c r="C131" s="69"/>
      <c r="E131" s="70"/>
      <c r="F131" s="71"/>
      <c r="G131" s="124"/>
      <c r="H131" s="125"/>
      <c r="I131" s="125"/>
      <c r="J131" s="126"/>
      <c r="K131" s="126"/>
      <c r="L131" s="127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</row>
    <row r="132" ht="15.75" customHeight="1">
      <c r="A132" s="68"/>
      <c r="B132" s="68"/>
      <c r="C132" s="69"/>
      <c r="E132" s="70"/>
      <c r="F132" s="71"/>
      <c r="G132" s="124"/>
      <c r="H132" s="125"/>
      <c r="I132" s="125"/>
      <c r="J132" s="126"/>
      <c r="K132" s="126"/>
      <c r="L132" s="127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5.75" customHeight="1">
      <c r="A133" s="68"/>
      <c r="B133" s="68"/>
      <c r="C133" s="69"/>
      <c r="E133" s="70"/>
      <c r="F133" s="71"/>
      <c r="G133" s="124"/>
      <c r="H133" s="125"/>
      <c r="I133" s="125"/>
      <c r="J133" s="126"/>
      <c r="K133" s="126"/>
      <c r="L133" s="127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5.75" customHeight="1">
      <c r="A134" s="68"/>
      <c r="B134" s="68"/>
      <c r="C134" s="69"/>
      <c r="E134" s="70"/>
      <c r="F134" s="71"/>
      <c r="G134" s="124"/>
      <c r="H134" s="125"/>
      <c r="I134" s="125"/>
      <c r="J134" s="126"/>
      <c r="K134" s="126"/>
      <c r="L134" s="127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5.75" customHeight="1">
      <c r="A135" s="68"/>
      <c r="B135" s="68"/>
      <c r="C135" s="69"/>
      <c r="E135" s="70"/>
      <c r="F135" s="71"/>
      <c r="G135" s="124"/>
      <c r="H135" s="125"/>
      <c r="I135" s="125"/>
      <c r="J135" s="126"/>
      <c r="K135" s="126"/>
      <c r="L135" s="127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5.75" customHeight="1">
      <c r="A136" s="68"/>
      <c r="B136" s="68"/>
      <c r="C136" s="69"/>
      <c r="E136" s="70"/>
      <c r="F136" s="71"/>
      <c r="G136" s="124"/>
      <c r="H136" s="125"/>
      <c r="I136" s="125"/>
      <c r="J136" s="126"/>
      <c r="K136" s="126"/>
      <c r="L136" s="127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5.75" customHeight="1">
      <c r="A137" s="68"/>
      <c r="B137" s="68"/>
      <c r="C137" s="69"/>
      <c r="E137" s="70"/>
      <c r="F137" s="71"/>
      <c r="G137" s="124"/>
      <c r="H137" s="125"/>
      <c r="I137" s="125"/>
      <c r="J137" s="126"/>
      <c r="K137" s="126"/>
      <c r="L137" s="127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5.75" customHeight="1">
      <c r="A138" s="68"/>
      <c r="B138" s="68"/>
      <c r="C138" s="69"/>
      <c r="E138" s="70"/>
      <c r="F138" s="71"/>
      <c r="G138" s="124"/>
      <c r="H138" s="125"/>
      <c r="I138" s="125"/>
      <c r="J138" s="126"/>
      <c r="K138" s="126"/>
      <c r="L138" s="127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5.75" customHeight="1">
      <c r="A139" s="68"/>
      <c r="B139" s="68"/>
      <c r="C139" s="69"/>
      <c r="E139" s="70"/>
      <c r="F139" s="71"/>
      <c r="G139" s="124"/>
      <c r="H139" s="125"/>
      <c r="I139" s="125"/>
      <c r="J139" s="126"/>
      <c r="K139" s="126"/>
      <c r="L139" s="127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5.75" customHeight="1">
      <c r="A140" s="68"/>
      <c r="B140" s="68"/>
      <c r="C140" s="69"/>
      <c r="E140" s="70"/>
      <c r="F140" s="71"/>
      <c r="G140" s="124"/>
      <c r="H140" s="125"/>
      <c r="I140" s="125"/>
      <c r="J140" s="126"/>
      <c r="K140" s="126"/>
      <c r="L140" s="97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5.75" customHeight="1">
      <c r="A141" s="68"/>
      <c r="B141" s="68"/>
      <c r="C141" s="69"/>
      <c r="E141" s="70"/>
      <c r="F141" s="71"/>
      <c r="G141" s="124"/>
      <c r="H141" s="125"/>
      <c r="I141" s="125"/>
      <c r="J141" s="126"/>
      <c r="K141" s="126"/>
      <c r="L141" s="127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</row>
    <row r="142" ht="15.75" customHeight="1">
      <c r="A142" s="68"/>
      <c r="B142" s="68"/>
      <c r="C142" s="69"/>
      <c r="E142" s="70"/>
      <c r="F142" s="71"/>
      <c r="G142" s="124"/>
      <c r="H142" s="125"/>
      <c r="I142" s="125"/>
      <c r="J142" s="126"/>
      <c r="K142" s="126"/>
      <c r="L142" s="127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5.75" customHeight="1">
      <c r="A143" s="68"/>
      <c r="B143" s="68"/>
      <c r="C143" s="69"/>
      <c r="E143" s="70"/>
      <c r="F143" s="71"/>
      <c r="G143" s="124"/>
      <c r="H143" s="125"/>
      <c r="I143" s="125"/>
      <c r="J143" s="126"/>
      <c r="K143" s="126"/>
      <c r="L143" s="127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5.75" customHeight="1">
      <c r="A144" s="68"/>
      <c r="B144" s="68"/>
      <c r="C144" s="69"/>
      <c r="E144" s="70"/>
      <c r="F144" s="71"/>
      <c r="G144" s="124"/>
      <c r="H144" s="125"/>
      <c r="I144" s="125"/>
      <c r="J144" s="126"/>
      <c r="K144" s="126"/>
      <c r="L144" s="127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5.75" customHeight="1">
      <c r="A145" s="68"/>
      <c r="B145" s="68"/>
      <c r="C145" s="69"/>
      <c r="E145" s="70"/>
      <c r="F145" s="71"/>
      <c r="G145" s="124"/>
      <c r="H145" s="125"/>
      <c r="I145" s="125"/>
      <c r="J145" s="126"/>
      <c r="K145" s="126"/>
      <c r="L145" s="127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5.75" customHeight="1">
      <c r="A146" s="68"/>
      <c r="B146" s="68"/>
      <c r="C146" s="69"/>
      <c r="E146" s="70"/>
      <c r="F146" s="71"/>
      <c r="G146" s="124"/>
      <c r="H146" s="125"/>
      <c r="I146" s="125"/>
      <c r="J146" s="126"/>
      <c r="K146" s="126"/>
      <c r="L146" s="127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</row>
    <row r="147" ht="15.75" customHeight="1">
      <c r="A147" s="68"/>
      <c r="B147" s="68"/>
      <c r="C147" s="69"/>
      <c r="E147" s="70"/>
      <c r="F147" s="71"/>
      <c r="G147" s="124"/>
      <c r="H147" s="125"/>
      <c r="I147" s="125"/>
      <c r="J147" s="126"/>
      <c r="K147" s="126"/>
      <c r="L147" s="127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</row>
    <row r="148" ht="15.75" customHeight="1">
      <c r="A148" s="68"/>
      <c r="B148" s="68"/>
      <c r="C148" s="69"/>
      <c r="E148" s="70"/>
      <c r="F148" s="71"/>
      <c r="G148" s="124"/>
      <c r="H148" s="125"/>
      <c r="I148" s="125"/>
      <c r="J148" s="126"/>
      <c r="K148" s="126"/>
      <c r="L148" s="127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5.75" customHeight="1">
      <c r="A149" s="68"/>
      <c r="B149" s="68"/>
      <c r="C149" s="69"/>
      <c r="E149" s="70"/>
      <c r="F149" s="71"/>
      <c r="G149" s="124"/>
      <c r="H149" s="125"/>
      <c r="I149" s="125"/>
      <c r="J149" s="126"/>
      <c r="K149" s="126"/>
      <c r="L149" s="127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5.75" customHeight="1">
      <c r="A150" s="68"/>
      <c r="B150" s="68"/>
      <c r="C150" s="69"/>
      <c r="E150" s="70"/>
      <c r="F150" s="71"/>
      <c r="G150" s="124"/>
      <c r="H150" s="125"/>
      <c r="I150" s="125"/>
      <c r="J150" s="126"/>
      <c r="K150" s="126"/>
      <c r="L150" s="127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5.75" customHeight="1">
      <c r="A151" s="68"/>
      <c r="B151" s="68"/>
      <c r="C151" s="69"/>
      <c r="E151" s="70"/>
      <c r="F151" s="71"/>
      <c r="G151" s="124"/>
      <c r="H151" s="125"/>
      <c r="I151" s="125"/>
      <c r="J151" s="126"/>
      <c r="K151" s="126"/>
      <c r="L151" s="127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</row>
    <row r="152" ht="15.75" customHeight="1">
      <c r="A152" s="68"/>
      <c r="B152" s="68"/>
      <c r="C152" s="69"/>
      <c r="E152" s="70"/>
      <c r="F152" s="71"/>
      <c r="G152" s="124"/>
      <c r="H152" s="125"/>
      <c r="I152" s="125"/>
      <c r="J152" s="126"/>
      <c r="K152" s="126"/>
      <c r="L152" s="127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</row>
    <row r="153" ht="15.75" customHeight="1">
      <c r="A153" s="68"/>
      <c r="B153" s="68"/>
      <c r="C153" s="69"/>
      <c r="E153" s="70"/>
      <c r="F153" s="71"/>
      <c r="G153" s="124"/>
      <c r="H153" s="125"/>
      <c r="I153" s="125"/>
      <c r="J153" s="126"/>
      <c r="K153" s="126"/>
      <c r="L153" s="127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5.75" customHeight="1">
      <c r="A154" s="68"/>
      <c r="B154" s="68"/>
      <c r="C154" s="69"/>
      <c r="E154" s="70"/>
      <c r="F154" s="71"/>
      <c r="G154" s="124"/>
      <c r="H154" s="125"/>
      <c r="I154" s="125"/>
      <c r="J154" s="126"/>
      <c r="K154" s="126"/>
      <c r="L154" s="127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5.75" customHeight="1">
      <c r="A155" s="68"/>
      <c r="B155" s="68"/>
      <c r="C155" s="69"/>
      <c r="E155" s="70"/>
      <c r="F155" s="71"/>
      <c r="G155" s="124"/>
      <c r="H155" s="125"/>
      <c r="I155" s="125"/>
      <c r="J155" s="126"/>
      <c r="K155" s="126"/>
      <c r="L155" s="127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5.75" customHeight="1">
      <c r="A156" s="68"/>
      <c r="B156" s="68"/>
      <c r="C156" s="69"/>
      <c r="E156" s="70"/>
      <c r="F156" s="71"/>
      <c r="G156" s="124"/>
      <c r="H156" s="125"/>
      <c r="I156" s="125"/>
      <c r="J156" s="126"/>
      <c r="K156" s="126"/>
      <c r="L156" s="127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5.75" customHeight="1">
      <c r="A157" s="68"/>
      <c r="B157" s="68"/>
      <c r="C157" s="69"/>
      <c r="E157" s="70"/>
      <c r="F157" s="71"/>
      <c r="G157" s="128"/>
      <c r="H157" s="129"/>
      <c r="I157" s="125"/>
      <c r="J157" s="130"/>
      <c r="K157" s="130"/>
      <c r="L157" s="131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</row>
    <row r="158" ht="15.75" customHeight="1">
      <c r="A158" s="68"/>
      <c r="B158" s="68"/>
      <c r="C158" s="69"/>
      <c r="E158" s="70"/>
      <c r="F158" s="71"/>
      <c r="G158" s="125"/>
      <c r="H158" s="125"/>
      <c r="I158" s="125"/>
      <c r="J158" s="126"/>
      <c r="K158" s="126"/>
      <c r="L158" s="127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5.75" customHeight="1">
      <c r="A159" s="68"/>
      <c r="B159" s="68"/>
      <c r="C159" s="69"/>
      <c r="E159" s="70"/>
      <c r="F159" s="71"/>
      <c r="G159" s="132"/>
      <c r="H159" s="132"/>
      <c r="I159" s="132"/>
      <c r="J159" s="133"/>
      <c r="K159" s="133"/>
      <c r="L159" s="134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5.75" customHeight="1">
      <c r="A160" s="68"/>
      <c r="B160" s="68"/>
      <c r="C160" s="69"/>
      <c r="E160" s="70"/>
      <c r="F160" s="71"/>
      <c r="G160" s="135"/>
      <c r="H160" s="135"/>
      <c r="I160" s="135"/>
      <c r="J160" s="136"/>
      <c r="K160" s="137"/>
      <c r="L160" s="137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5.75" customHeight="1">
      <c r="A161" s="68"/>
      <c r="B161" s="68"/>
      <c r="C161" s="69"/>
      <c r="E161" s="70"/>
      <c r="F161" s="71"/>
      <c r="G161" s="135"/>
      <c r="H161" s="135"/>
      <c r="I161" s="135"/>
      <c r="J161" s="136"/>
      <c r="K161" s="137"/>
      <c r="L161" s="137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5.75" customHeight="1">
      <c r="A162" s="68"/>
      <c r="B162" s="68"/>
      <c r="C162" s="69"/>
      <c r="E162" s="70"/>
      <c r="F162" s="71"/>
      <c r="G162" s="135"/>
      <c r="H162" s="135"/>
      <c r="I162" s="135"/>
      <c r="J162" s="135"/>
      <c r="K162" s="135"/>
      <c r="L162" s="138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</row>
    <row r="163" ht="15.75" customHeight="1">
      <c r="A163" s="68"/>
      <c r="B163" s="68"/>
      <c r="C163" s="69"/>
      <c r="E163" s="70"/>
      <c r="F163" s="71"/>
      <c r="G163" s="135"/>
      <c r="H163" s="135"/>
      <c r="I163" s="135"/>
      <c r="J163" s="136"/>
      <c r="K163" s="137"/>
      <c r="L163" s="137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</row>
    <row r="164" ht="15.75" customHeight="1">
      <c r="A164" s="68"/>
      <c r="B164" s="68"/>
      <c r="C164" s="69"/>
      <c r="E164" s="70"/>
      <c r="F164" s="71"/>
      <c r="G164" s="139"/>
      <c r="H164" s="139"/>
      <c r="I164" s="139"/>
      <c r="J164" s="139"/>
      <c r="K164" s="140"/>
      <c r="L164" s="140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 ht="15.75" customHeight="1">
      <c r="A165" s="68"/>
      <c r="B165" s="68"/>
      <c r="C165" s="69"/>
      <c r="E165" s="70"/>
      <c r="F165" s="71"/>
      <c r="G165" s="135"/>
      <c r="H165" s="135"/>
      <c r="I165" s="136"/>
      <c r="J165" s="136"/>
      <c r="K165" s="137"/>
      <c r="L165" s="137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</row>
    <row r="166" ht="15.75" customHeight="1">
      <c r="A166" s="68"/>
      <c r="B166" s="68"/>
      <c r="C166" s="69"/>
      <c r="E166" s="70"/>
      <c r="F166" s="71"/>
      <c r="G166" s="135"/>
      <c r="H166" s="135"/>
      <c r="I166" s="136"/>
      <c r="J166" s="136"/>
      <c r="K166" s="137"/>
      <c r="L166" s="137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5.75" customHeight="1">
      <c r="A167" s="68"/>
      <c r="B167" s="68"/>
      <c r="C167" s="69"/>
      <c r="E167" s="70"/>
      <c r="F167" s="71"/>
      <c r="G167" s="135"/>
      <c r="H167" s="135"/>
      <c r="I167" s="136"/>
      <c r="J167" s="136"/>
      <c r="K167" s="137"/>
      <c r="L167" s="137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</row>
    <row r="168" ht="15.75" customHeight="1">
      <c r="A168" s="68"/>
      <c r="B168" s="68"/>
      <c r="C168" s="69"/>
      <c r="E168" s="70"/>
      <c r="F168" s="71"/>
      <c r="G168" s="135"/>
      <c r="H168" s="135"/>
      <c r="I168" s="136"/>
      <c r="J168" s="136"/>
      <c r="K168" s="137"/>
      <c r="L168" s="137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</row>
    <row r="169" ht="15.75" customHeight="1">
      <c r="A169" s="68"/>
      <c r="B169" s="68"/>
      <c r="C169" s="69"/>
      <c r="E169" s="70"/>
      <c r="F169" s="71"/>
      <c r="G169" s="135"/>
      <c r="H169" s="135"/>
      <c r="I169" s="136"/>
      <c r="J169" s="136"/>
      <c r="K169" s="137"/>
      <c r="L169" s="137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</row>
    <row r="170" ht="15.75" customHeight="1">
      <c r="A170" s="68"/>
      <c r="B170" s="68"/>
      <c r="C170" s="69"/>
      <c r="E170" s="70"/>
      <c r="F170" s="71"/>
      <c r="G170" s="141"/>
      <c r="H170" s="141"/>
      <c r="I170" s="142"/>
      <c r="J170" s="142"/>
      <c r="K170" s="143"/>
      <c r="L170" s="143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</row>
    <row r="171" ht="15.75" customHeight="1">
      <c r="A171" s="68"/>
      <c r="B171" s="68"/>
      <c r="C171" s="69"/>
      <c r="E171" s="70"/>
      <c r="F171" s="71"/>
      <c r="I171" s="71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5.75" customHeight="1">
      <c r="A172" s="68"/>
      <c r="B172" s="68"/>
      <c r="C172" s="69"/>
      <c r="E172" s="70"/>
      <c r="F172" s="71"/>
      <c r="I172" s="71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</row>
    <row r="173" ht="15.75" customHeight="1">
      <c r="A173" s="68"/>
      <c r="B173" s="68"/>
      <c r="C173" s="69"/>
      <c r="E173" s="70"/>
      <c r="F173" s="71"/>
      <c r="I173" s="71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5.75" customHeight="1">
      <c r="A174" s="68"/>
      <c r="B174" s="68"/>
      <c r="C174" s="69"/>
      <c r="E174" s="70"/>
      <c r="F174" s="71"/>
      <c r="I174" s="71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5.75" customHeight="1">
      <c r="A175" s="68"/>
      <c r="B175" s="68"/>
      <c r="C175" s="69"/>
      <c r="E175" s="70"/>
      <c r="F175" s="71"/>
      <c r="I175" s="71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5.75" customHeight="1">
      <c r="A176" s="68"/>
      <c r="B176" s="68"/>
      <c r="C176" s="69"/>
      <c r="E176" s="70"/>
      <c r="F176" s="71"/>
      <c r="I176" s="71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5.75" customHeight="1">
      <c r="A177" s="68"/>
      <c r="B177" s="68"/>
      <c r="C177" s="69"/>
      <c r="E177" s="70"/>
      <c r="F177" s="71"/>
      <c r="I177" s="71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5.75" customHeight="1">
      <c r="A178" s="68"/>
      <c r="B178" s="68"/>
      <c r="C178" s="69"/>
      <c r="E178" s="70"/>
      <c r="F178" s="71"/>
      <c r="I178" s="71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5.75" customHeight="1">
      <c r="A179" s="68"/>
      <c r="B179" s="68"/>
      <c r="C179" s="69"/>
      <c r="E179" s="70"/>
      <c r="F179" s="71"/>
      <c r="I179" s="71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5.75" customHeight="1">
      <c r="A180" s="68"/>
      <c r="B180" s="68"/>
      <c r="C180" s="69"/>
      <c r="E180" s="70"/>
      <c r="F180" s="71"/>
      <c r="I180" s="71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5.75" customHeight="1">
      <c r="A181" s="68"/>
      <c r="B181" s="68"/>
      <c r="C181" s="69"/>
      <c r="E181" s="70"/>
      <c r="F181" s="71"/>
      <c r="I181" s="71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5.75" customHeight="1">
      <c r="A182" s="68"/>
      <c r="B182" s="68"/>
      <c r="C182" s="69"/>
      <c r="E182" s="70"/>
      <c r="F182" s="71"/>
      <c r="I182" s="71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5.75" customHeight="1">
      <c r="A183" s="68"/>
      <c r="B183" s="68"/>
      <c r="C183" s="69"/>
      <c r="E183" s="70"/>
      <c r="F183" s="71"/>
      <c r="I183" s="71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5.75" customHeight="1">
      <c r="A184" s="68"/>
      <c r="B184" s="68"/>
      <c r="C184" s="69"/>
      <c r="E184" s="70"/>
      <c r="F184" s="71"/>
      <c r="I184" s="71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5.75" customHeight="1">
      <c r="A185" s="68"/>
      <c r="B185" s="68"/>
      <c r="C185" s="69"/>
      <c r="E185" s="70"/>
      <c r="F185" s="71"/>
      <c r="I185" s="71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5.75" customHeight="1">
      <c r="A186" s="68"/>
      <c r="B186" s="68"/>
      <c r="C186" s="69"/>
      <c r="E186" s="70"/>
      <c r="F186" s="71"/>
      <c r="I186" s="71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5.75" customHeight="1">
      <c r="A187" s="68"/>
      <c r="B187" s="68"/>
      <c r="C187" s="69"/>
      <c r="E187" s="70"/>
      <c r="F187" s="71"/>
      <c r="I187" s="71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  <row r="188" ht="15.75" customHeight="1">
      <c r="A188" s="68"/>
      <c r="B188" s="68"/>
      <c r="C188" s="69"/>
      <c r="E188" s="70"/>
      <c r="F188" s="71"/>
      <c r="I188" s="71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</row>
    <row r="189" ht="15.75" customHeight="1">
      <c r="A189" s="68"/>
      <c r="B189" s="68"/>
      <c r="C189" s="69"/>
      <c r="E189" s="70"/>
      <c r="F189" s="71"/>
      <c r="I189" s="71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</row>
    <row r="190" ht="15.75" customHeight="1">
      <c r="A190" s="68"/>
      <c r="B190" s="68"/>
      <c r="C190" s="69"/>
      <c r="E190" s="70"/>
      <c r="F190" s="71"/>
      <c r="I190" s="71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</row>
    <row r="191" ht="15.75" customHeight="1">
      <c r="A191" s="68"/>
      <c r="B191" s="68"/>
      <c r="C191" s="69"/>
      <c r="E191" s="70"/>
      <c r="F191" s="71"/>
      <c r="I191" s="71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</row>
    <row r="192" ht="15.75" customHeight="1">
      <c r="A192" s="68"/>
      <c r="B192" s="68"/>
      <c r="C192" s="69"/>
      <c r="E192" s="70"/>
      <c r="F192" s="71"/>
      <c r="I192" s="71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</row>
    <row r="193" ht="15.75" customHeight="1">
      <c r="A193" s="68"/>
      <c r="B193" s="68"/>
      <c r="C193" s="69"/>
      <c r="E193" s="70"/>
      <c r="F193" s="71"/>
      <c r="I193" s="71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</row>
    <row r="194" ht="15.75" customHeight="1">
      <c r="A194" s="68"/>
      <c r="B194" s="68"/>
      <c r="C194" s="69"/>
      <c r="E194" s="70"/>
      <c r="F194" s="71"/>
      <c r="I194" s="71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</row>
    <row r="195" ht="15.75" customHeight="1">
      <c r="A195" s="68"/>
      <c r="B195" s="68"/>
      <c r="C195" s="69"/>
      <c r="E195" s="70"/>
      <c r="F195" s="71"/>
      <c r="I195" s="71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</row>
    <row r="196" ht="15.75" customHeight="1">
      <c r="A196" s="68"/>
      <c r="B196" s="68"/>
      <c r="C196" s="69"/>
      <c r="E196" s="70"/>
      <c r="F196" s="71"/>
      <c r="I196" s="71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ht="15.75" customHeight="1">
      <c r="A197" s="68"/>
      <c r="B197" s="68"/>
      <c r="C197" s="69"/>
      <c r="E197" s="70"/>
      <c r="F197" s="71"/>
      <c r="I197" s="71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ht="15.75" customHeight="1">
      <c r="A198" s="68"/>
      <c r="B198" s="68"/>
      <c r="C198" s="69"/>
      <c r="E198" s="70"/>
      <c r="F198" s="71"/>
      <c r="I198" s="71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</row>
    <row r="199" ht="15.75" customHeight="1">
      <c r="A199" s="68"/>
      <c r="B199" s="68"/>
      <c r="C199" s="69"/>
      <c r="E199" s="70"/>
      <c r="F199" s="71"/>
      <c r="I199" s="71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</row>
    <row r="200" ht="15.75" customHeight="1">
      <c r="A200" s="68"/>
      <c r="B200" s="68"/>
      <c r="C200" s="69"/>
      <c r="E200" s="70"/>
      <c r="F200" s="71"/>
      <c r="I200" s="71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</row>
    <row r="201" ht="15.75" customHeight="1">
      <c r="A201" s="68"/>
      <c r="B201" s="68"/>
      <c r="C201" s="69"/>
      <c r="E201" s="70"/>
      <c r="F201" s="71"/>
      <c r="I201" s="71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</row>
    <row r="202" ht="15.75" customHeight="1">
      <c r="A202" s="68"/>
      <c r="B202" s="68"/>
      <c r="C202" s="69"/>
      <c r="E202" s="70"/>
      <c r="F202" s="71"/>
      <c r="I202" s="71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</row>
    <row r="203" ht="15.75" customHeight="1">
      <c r="A203" s="68"/>
      <c r="B203" s="68"/>
      <c r="C203" s="69"/>
      <c r="E203" s="70"/>
      <c r="F203" s="71"/>
      <c r="I203" s="71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</row>
    <row r="204" ht="15.75" customHeight="1">
      <c r="A204" s="68"/>
      <c r="B204" s="68"/>
      <c r="C204" s="69"/>
      <c r="E204" s="70"/>
      <c r="F204" s="71"/>
      <c r="I204" s="71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</row>
    <row r="205" ht="15.75" customHeight="1">
      <c r="A205" s="68"/>
      <c r="B205" s="68"/>
      <c r="C205" s="69"/>
      <c r="E205" s="70"/>
      <c r="F205" s="71"/>
      <c r="I205" s="71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</row>
    <row r="206" ht="15.75" customHeight="1">
      <c r="A206" s="68"/>
      <c r="B206" s="68"/>
      <c r="C206" s="69"/>
      <c r="E206" s="70"/>
      <c r="F206" s="71"/>
      <c r="I206" s="71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</row>
    <row r="207" ht="15.75" customHeight="1">
      <c r="A207" s="68"/>
      <c r="B207" s="68"/>
      <c r="C207" s="69"/>
      <c r="E207" s="70"/>
      <c r="F207" s="71"/>
      <c r="I207" s="71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</row>
    <row r="208" ht="15.75" customHeight="1">
      <c r="A208" s="68"/>
      <c r="B208" s="68"/>
      <c r="C208" s="69"/>
      <c r="E208" s="70"/>
      <c r="F208" s="71"/>
      <c r="I208" s="71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</row>
    <row r="209" ht="15.75" customHeight="1">
      <c r="A209" s="68"/>
      <c r="B209" s="68"/>
      <c r="C209" s="69"/>
      <c r="E209" s="70"/>
      <c r="F209" s="71"/>
      <c r="I209" s="71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</row>
    <row r="210" ht="15.75" customHeight="1">
      <c r="A210" s="68"/>
      <c r="B210" s="68"/>
      <c r="C210" s="69"/>
      <c r="E210" s="70"/>
      <c r="F210" s="71"/>
      <c r="I210" s="71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</row>
    <row r="211" ht="15.75" customHeight="1">
      <c r="A211" s="68"/>
      <c r="B211" s="68"/>
      <c r="C211" s="69"/>
      <c r="E211" s="70"/>
      <c r="F211" s="71"/>
      <c r="I211" s="71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</row>
    <row r="212" ht="15.75" customHeight="1">
      <c r="A212" s="68"/>
      <c r="B212" s="68"/>
      <c r="C212" s="69"/>
      <c r="E212" s="70"/>
      <c r="F212" s="71"/>
      <c r="I212" s="71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</row>
    <row r="213" ht="15.75" customHeight="1">
      <c r="A213" s="68"/>
      <c r="B213" s="68"/>
      <c r="C213" s="69"/>
      <c r="E213" s="70"/>
      <c r="F213" s="71"/>
      <c r="I213" s="71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</row>
    <row r="214" ht="15.75" customHeight="1">
      <c r="A214" s="68"/>
      <c r="B214" s="68"/>
      <c r="C214" s="69"/>
      <c r="E214" s="70"/>
      <c r="F214" s="71"/>
      <c r="I214" s="71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</row>
    <row r="215" ht="15.75" customHeight="1">
      <c r="A215" s="68"/>
      <c r="B215" s="68"/>
      <c r="C215" s="69"/>
      <c r="E215" s="70"/>
      <c r="F215" s="71"/>
      <c r="I215" s="71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</row>
    <row r="216" ht="15.75" customHeight="1">
      <c r="A216" s="68"/>
      <c r="B216" s="68"/>
      <c r="C216" s="69"/>
      <c r="E216" s="70"/>
      <c r="F216" s="71"/>
      <c r="I216" s="71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</row>
    <row r="217" ht="15.75" customHeight="1">
      <c r="A217" s="68"/>
      <c r="B217" s="68"/>
      <c r="C217" s="69"/>
      <c r="E217" s="70"/>
      <c r="F217" s="71"/>
      <c r="I217" s="71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</row>
    <row r="218" ht="15.75" customHeight="1">
      <c r="A218" s="68"/>
      <c r="B218" s="68"/>
      <c r="C218" s="69"/>
      <c r="E218" s="70"/>
      <c r="F218" s="71"/>
      <c r="I218" s="71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</row>
    <row r="219" ht="15.75" customHeight="1">
      <c r="A219" s="68"/>
      <c r="B219" s="68"/>
      <c r="C219" s="69"/>
      <c r="E219" s="70"/>
      <c r="F219" s="71"/>
      <c r="I219" s="71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</row>
    <row r="220" ht="15.75" customHeight="1">
      <c r="A220" s="68"/>
      <c r="B220" s="68"/>
      <c r="C220" s="69"/>
      <c r="E220" s="70"/>
      <c r="F220" s="71"/>
      <c r="I220" s="71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</row>
    <row r="221" ht="15.75" customHeight="1">
      <c r="A221" s="68"/>
      <c r="B221" s="68"/>
      <c r="C221" s="69"/>
      <c r="E221" s="70"/>
      <c r="F221" s="71"/>
      <c r="I221" s="71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</row>
    <row r="222" ht="15.75" customHeight="1">
      <c r="A222" s="68"/>
      <c r="B222" s="68"/>
      <c r="C222" s="69"/>
      <c r="E222" s="70"/>
      <c r="F222" s="71"/>
      <c r="I222" s="71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</row>
    <row r="223" ht="15.75" customHeight="1">
      <c r="A223" s="68"/>
      <c r="B223" s="68"/>
      <c r="C223" s="69"/>
      <c r="E223" s="70"/>
      <c r="F223" s="71"/>
      <c r="I223" s="71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</row>
    <row r="224" ht="15.75" customHeight="1">
      <c r="A224" s="68"/>
      <c r="B224" s="68"/>
      <c r="C224" s="69"/>
      <c r="E224" s="70"/>
      <c r="F224" s="71"/>
      <c r="I224" s="71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</row>
    <row r="225" ht="15.75" customHeight="1">
      <c r="A225" s="68"/>
      <c r="B225" s="68"/>
      <c r="C225" s="69"/>
      <c r="E225" s="70"/>
      <c r="F225" s="71"/>
      <c r="I225" s="71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</row>
    <row r="226" ht="15.75" customHeight="1">
      <c r="A226" s="68"/>
      <c r="B226" s="68"/>
      <c r="C226" s="69"/>
      <c r="E226" s="70"/>
      <c r="F226" s="71"/>
      <c r="I226" s="71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</row>
    <row r="227" ht="15.75" customHeight="1">
      <c r="A227" s="68"/>
      <c r="B227" s="68"/>
      <c r="C227" s="69"/>
      <c r="E227" s="70"/>
      <c r="F227" s="71"/>
      <c r="I227" s="71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</row>
    <row r="228" ht="15.75" customHeight="1">
      <c r="A228" s="68"/>
      <c r="B228" s="68"/>
      <c r="C228" s="69"/>
      <c r="E228" s="70"/>
      <c r="F228" s="71"/>
      <c r="I228" s="71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</row>
    <row r="229" ht="15.75" customHeight="1">
      <c r="A229" s="68"/>
      <c r="B229" s="68"/>
      <c r="C229" s="69"/>
      <c r="E229" s="70"/>
      <c r="F229" s="71"/>
      <c r="I229" s="71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</row>
    <row r="230" ht="15.75" customHeight="1">
      <c r="A230" s="68"/>
      <c r="B230" s="68"/>
      <c r="C230" s="69"/>
      <c r="E230" s="70"/>
      <c r="F230" s="71"/>
      <c r="I230" s="71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</row>
    <row r="231" ht="15.75" customHeight="1">
      <c r="A231" s="68"/>
      <c r="B231" s="68"/>
      <c r="C231" s="69"/>
      <c r="E231" s="70"/>
      <c r="F231" s="71"/>
      <c r="I231" s="71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</row>
    <row r="232" ht="15.75" customHeight="1">
      <c r="A232" s="68"/>
      <c r="B232" s="68"/>
      <c r="C232" s="69"/>
      <c r="E232" s="70"/>
      <c r="F232" s="71"/>
      <c r="I232" s="71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</row>
    <row r="233" ht="15.75" customHeight="1">
      <c r="A233" s="68"/>
      <c r="B233" s="68"/>
      <c r="C233" s="69"/>
      <c r="E233" s="70"/>
      <c r="F233" s="71"/>
      <c r="I233" s="71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</row>
    <row r="234" ht="15.75" customHeight="1">
      <c r="A234" s="68"/>
      <c r="B234" s="68"/>
      <c r="C234" s="69"/>
      <c r="E234" s="70"/>
      <c r="F234" s="71"/>
      <c r="I234" s="71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</row>
    <row r="235" ht="15.75" customHeight="1">
      <c r="A235" s="68"/>
      <c r="B235" s="68"/>
      <c r="C235" s="69"/>
      <c r="E235" s="70"/>
      <c r="F235" s="71"/>
      <c r="I235" s="71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</row>
    <row r="236" ht="15.75" customHeight="1">
      <c r="A236" s="68"/>
      <c r="B236" s="68"/>
      <c r="C236" s="69"/>
      <c r="E236" s="70"/>
      <c r="F236" s="71"/>
      <c r="I236" s="71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</row>
    <row r="237" ht="15.75" customHeight="1">
      <c r="A237" s="68"/>
      <c r="B237" s="68"/>
      <c r="C237" s="69"/>
      <c r="E237" s="70"/>
      <c r="F237" s="71"/>
      <c r="I237" s="71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</row>
    <row r="238" ht="15.75" customHeight="1">
      <c r="A238" s="68"/>
      <c r="B238" s="68"/>
      <c r="C238" s="69"/>
      <c r="E238" s="70"/>
      <c r="F238" s="71"/>
      <c r="I238" s="71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</row>
    <row r="239" ht="15.75" customHeight="1">
      <c r="A239" s="68"/>
      <c r="B239" s="68"/>
      <c r="C239" s="69"/>
      <c r="E239" s="70"/>
      <c r="F239" s="71"/>
      <c r="I239" s="71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</row>
    <row r="240" ht="15.75" customHeight="1">
      <c r="A240" s="68"/>
      <c r="B240" s="68"/>
      <c r="C240" s="69"/>
      <c r="E240" s="70"/>
      <c r="F240" s="71"/>
      <c r="I240" s="71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</row>
    <row r="241" ht="15.75" customHeight="1">
      <c r="A241" s="68"/>
      <c r="B241" s="68"/>
      <c r="C241" s="69"/>
      <c r="E241" s="70"/>
      <c r="F241" s="71"/>
      <c r="I241" s="71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</row>
    <row r="242" ht="15.75" customHeight="1">
      <c r="A242" s="68"/>
      <c r="B242" s="68"/>
      <c r="C242" s="69"/>
      <c r="E242" s="70"/>
      <c r="F242" s="71"/>
      <c r="I242" s="71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</row>
    <row r="243" ht="15.75" customHeight="1">
      <c r="A243" s="68"/>
      <c r="B243" s="68"/>
      <c r="C243" s="69"/>
      <c r="E243" s="70"/>
      <c r="F243" s="71"/>
      <c r="I243" s="71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</row>
    <row r="244" ht="15.75" customHeight="1">
      <c r="A244" s="68"/>
      <c r="B244" s="68"/>
      <c r="C244" s="69"/>
      <c r="E244" s="70"/>
      <c r="F244" s="71"/>
      <c r="I244" s="71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</row>
    <row r="245" ht="15.75" customHeight="1">
      <c r="A245" s="68"/>
      <c r="B245" s="68"/>
      <c r="C245" s="69"/>
      <c r="E245" s="70"/>
      <c r="F245" s="71"/>
      <c r="I245" s="71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</row>
    <row r="246" ht="15.75" customHeight="1">
      <c r="A246" s="68"/>
      <c r="B246" s="68"/>
      <c r="C246" s="69"/>
      <c r="E246" s="70"/>
      <c r="F246" s="71"/>
      <c r="I246" s="71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</row>
    <row r="247" ht="15.75" customHeight="1">
      <c r="A247" s="68"/>
      <c r="B247" s="68"/>
      <c r="C247" s="69"/>
      <c r="E247" s="70"/>
      <c r="F247" s="71"/>
      <c r="I247" s="71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</row>
    <row r="248" ht="15.75" customHeight="1">
      <c r="A248" s="68"/>
      <c r="B248" s="68"/>
      <c r="C248" s="69"/>
      <c r="E248" s="70"/>
      <c r="F248" s="71"/>
      <c r="I248" s="71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</row>
    <row r="249" ht="15.75" customHeight="1">
      <c r="A249" s="68"/>
      <c r="B249" s="68"/>
      <c r="C249" s="69"/>
      <c r="E249" s="70"/>
      <c r="F249" s="71"/>
      <c r="I249" s="71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</row>
    <row r="250" ht="15.75" customHeight="1">
      <c r="A250" s="68"/>
      <c r="B250" s="68"/>
      <c r="C250" s="69"/>
      <c r="E250" s="70"/>
      <c r="F250" s="71"/>
      <c r="I250" s="71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</row>
    <row r="251" ht="15.75" customHeight="1">
      <c r="A251" s="68"/>
      <c r="B251" s="68"/>
      <c r="C251" s="69"/>
      <c r="E251" s="70"/>
      <c r="F251" s="71"/>
      <c r="I251" s="71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</row>
    <row r="252" ht="15.75" customHeight="1">
      <c r="A252" s="68"/>
      <c r="B252" s="68"/>
      <c r="C252" s="69"/>
      <c r="E252" s="70"/>
      <c r="F252" s="71"/>
      <c r="I252" s="71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</row>
    <row r="253" ht="15.75" customHeight="1">
      <c r="A253" s="68"/>
      <c r="B253" s="68"/>
      <c r="C253" s="69"/>
      <c r="E253" s="70"/>
      <c r="F253" s="71"/>
      <c r="I253" s="71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</row>
    <row r="254" ht="15.75" customHeight="1">
      <c r="A254" s="68"/>
      <c r="B254" s="68"/>
      <c r="C254" s="69"/>
      <c r="E254" s="70"/>
      <c r="F254" s="71"/>
      <c r="I254" s="71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</row>
    <row r="255" ht="15.75" customHeight="1">
      <c r="A255" s="68"/>
      <c r="B255" s="68"/>
      <c r="C255" s="69"/>
      <c r="E255" s="70"/>
      <c r="F255" s="71"/>
      <c r="I255" s="71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</row>
    <row r="256" ht="15.75" customHeight="1">
      <c r="A256" s="68"/>
      <c r="B256" s="68"/>
      <c r="C256" s="69"/>
      <c r="E256" s="70"/>
      <c r="F256" s="71"/>
      <c r="I256" s="71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</row>
    <row r="257" ht="15.75" customHeight="1">
      <c r="A257" s="68"/>
      <c r="B257" s="68"/>
      <c r="C257" s="69"/>
      <c r="E257" s="70"/>
      <c r="F257" s="71"/>
      <c r="I257" s="71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</row>
    <row r="258" ht="15.75" customHeight="1">
      <c r="A258" s="68"/>
      <c r="B258" s="68"/>
      <c r="C258" s="69"/>
      <c r="E258" s="70"/>
      <c r="F258" s="71"/>
      <c r="I258" s="71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</row>
    <row r="259" ht="15.75" customHeight="1">
      <c r="A259" s="68"/>
      <c r="B259" s="68"/>
      <c r="C259" s="69"/>
      <c r="E259" s="70"/>
      <c r="F259" s="71"/>
      <c r="I259" s="71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</row>
    <row r="260" ht="15.75" customHeight="1">
      <c r="A260" s="68"/>
      <c r="B260" s="68"/>
      <c r="C260" s="69"/>
      <c r="E260" s="70"/>
      <c r="F260" s="71"/>
      <c r="I260" s="71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</row>
    <row r="261" ht="15.75" customHeight="1">
      <c r="A261" s="68"/>
      <c r="B261" s="68"/>
      <c r="C261" s="69"/>
      <c r="E261" s="70"/>
      <c r="F261" s="71"/>
      <c r="I261" s="71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</row>
    <row r="262" ht="15.75" customHeight="1">
      <c r="A262" s="68"/>
      <c r="B262" s="68"/>
      <c r="C262" s="69"/>
      <c r="E262" s="70"/>
      <c r="F262" s="71"/>
      <c r="I262" s="71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</row>
    <row r="263" ht="15.75" customHeight="1">
      <c r="A263" s="68"/>
      <c r="B263" s="68"/>
      <c r="C263" s="69"/>
      <c r="E263" s="70"/>
      <c r="F263" s="71"/>
      <c r="I263" s="71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</row>
    <row r="264" ht="15.75" customHeight="1">
      <c r="A264" s="68"/>
      <c r="B264" s="68"/>
      <c r="C264" s="69"/>
      <c r="E264" s="70"/>
      <c r="F264" s="71"/>
      <c r="I264" s="71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</row>
    <row r="265" ht="15.75" customHeight="1">
      <c r="A265" s="68"/>
      <c r="B265" s="68"/>
      <c r="C265" s="69"/>
      <c r="E265" s="70"/>
      <c r="F265" s="71"/>
      <c r="I265" s="71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</row>
    <row r="266" ht="15.75" customHeight="1">
      <c r="A266" s="68"/>
      <c r="B266" s="68"/>
      <c r="C266" s="69"/>
      <c r="E266" s="70"/>
      <c r="F266" s="71"/>
      <c r="I266" s="71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</row>
    <row r="267" ht="15.75" customHeight="1">
      <c r="A267" s="68"/>
      <c r="B267" s="68"/>
      <c r="C267" s="69"/>
      <c r="E267" s="70"/>
      <c r="F267" s="71"/>
      <c r="I267" s="71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</row>
    <row r="268" ht="15.75" customHeight="1">
      <c r="A268" s="68"/>
      <c r="B268" s="68"/>
      <c r="C268" s="69"/>
      <c r="E268" s="70"/>
      <c r="F268" s="71"/>
      <c r="I268" s="71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</row>
    <row r="269" ht="15.75" customHeight="1">
      <c r="A269" s="68"/>
      <c r="B269" s="68"/>
      <c r="C269" s="69"/>
      <c r="E269" s="70"/>
      <c r="F269" s="71"/>
      <c r="I269" s="71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</row>
    <row r="270" ht="15.75" customHeight="1">
      <c r="A270" s="68"/>
      <c r="B270" s="68"/>
      <c r="C270" s="69"/>
      <c r="E270" s="70"/>
      <c r="F270" s="71"/>
      <c r="I270" s="71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</row>
    <row r="271" ht="15.75" customHeight="1">
      <c r="A271" s="68"/>
      <c r="B271" s="68"/>
      <c r="C271" s="69"/>
      <c r="E271" s="70"/>
      <c r="F271" s="71"/>
      <c r="I271" s="71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</row>
    <row r="272" ht="15.75" customHeight="1">
      <c r="A272" s="68"/>
      <c r="B272" s="68"/>
      <c r="C272" s="69"/>
      <c r="E272" s="70"/>
      <c r="F272" s="71"/>
      <c r="I272" s="71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</row>
    <row r="273" ht="15.75" customHeight="1">
      <c r="A273" s="68"/>
      <c r="B273" s="68"/>
      <c r="C273" s="69"/>
      <c r="E273" s="70"/>
      <c r="F273" s="71"/>
      <c r="I273" s="71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</row>
    <row r="274" ht="15.75" customHeight="1">
      <c r="A274" s="68"/>
      <c r="B274" s="68"/>
      <c r="C274" s="69"/>
      <c r="E274" s="70"/>
      <c r="F274" s="71"/>
      <c r="I274" s="71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</row>
    <row r="275" ht="15.75" customHeight="1">
      <c r="A275" s="68"/>
      <c r="B275" s="68"/>
      <c r="C275" s="69"/>
      <c r="E275" s="70"/>
      <c r="F275" s="71"/>
      <c r="I275" s="71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</row>
    <row r="276" ht="15.75" customHeight="1">
      <c r="A276" s="68"/>
      <c r="B276" s="68"/>
      <c r="C276" s="69"/>
      <c r="E276" s="70"/>
      <c r="F276" s="71"/>
      <c r="I276" s="71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</row>
    <row r="277" ht="15.75" customHeight="1">
      <c r="A277" s="68"/>
      <c r="B277" s="68"/>
      <c r="C277" s="69"/>
      <c r="E277" s="70"/>
      <c r="F277" s="71"/>
      <c r="I277" s="71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</row>
    <row r="278" ht="15.75" customHeight="1">
      <c r="A278" s="68"/>
      <c r="B278" s="68"/>
      <c r="C278" s="69"/>
      <c r="E278" s="70"/>
      <c r="F278" s="71"/>
      <c r="I278" s="71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</row>
    <row r="279" ht="15.75" customHeight="1">
      <c r="A279" s="68"/>
      <c r="B279" s="68"/>
      <c r="C279" s="69"/>
      <c r="E279" s="70"/>
      <c r="F279" s="71"/>
      <c r="I279" s="71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</row>
    <row r="280" ht="15.75" customHeight="1">
      <c r="C280" s="102"/>
      <c r="I280" s="71"/>
    </row>
    <row r="281" ht="15.75" customHeight="1">
      <c r="C281" s="102"/>
      <c r="I281" s="71"/>
    </row>
    <row r="282" ht="15.75" customHeight="1">
      <c r="C282" s="102"/>
      <c r="I282" s="71"/>
    </row>
    <row r="283" ht="15.75" customHeight="1">
      <c r="C283" s="102"/>
      <c r="I283" s="71"/>
    </row>
    <row r="284" ht="15.75" customHeight="1">
      <c r="C284" s="102"/>
      <c r="I284" s="71"/>
    </row>
    <row r="285" ht="15.75" customHeight="1">
      <c r="C285" s="102"/>
      <c r="I285" s="71"/>
    </row>
    <row r="286" ht="15.75" customHeight="1">
      <c r="C286" s="102"/>
      <c r="I286" s="71"/>
    </row>
    <row r="287" ht="15.75" customHeight="1">
      <c r="C287" s="102"/>
      <c r="I287" s="71"/>
    </row>
    <row r="288" ht="15.75" customHeight="1">
      <c r="C288" s="102"/>
      <c r="I288" s="71"/>
    </row>
    <row r="289" ht="15.75" customHeight="1">
      <c r="C289" s="102"/>
      <c r="I289" s="71"/>
    </row>
    <row r="290" ht="15.75" customHeight="1">
      <c r="C290" s="102"/>
      <c r="I290" s="71"/>
    </row>
    <row r="291" ht="15.75" customHeight="1">
      <c r="C291" s="102"/>
      <c r="I291" s="71"/>
    </row>
    <row r="292" ht="15.75" customHeight="1">
      <c r="C292" s="102"/>
      <c r="I292" s="71"/>
    </row>
    <row r="293" ht="15.75" customHeight="1">
      <c r="C293" s="102"/>
      <c r="I293" s="71"/>
    </row>
    <row r="294" ht="15.75" customHeight="1">
      <c r="C294" s="102"/>
      <c r="I294" s="71"/>
    </row>
    <row r="295" ht="15.75" customHeight="1">
      <c r="C295" s="102"/>
      <c r="I295" s="71"/>
    </row>
    <row r="296" ht="15.75" customHeight="1">
      <c r="C296" s="102"/>
      <c r="I296" s="71"/>
    </row>
    <row r="297" ht="15.75" customHeight="1">
      <c r="C297" s="102"/>
      <c r="I297" s="71"/>
    </row>
    <row r="298" ht="15.75" customHeight="1">
      <c r="C298" s="102"/>
      <c r="I298" s="71"/>
    </row>
    <row r="299" ht="15.75" customHeight="1">
      <c r="C299" s="102"/>
      <c r="I299" s="71"/>
    </row>
    <row r="300" ht="15.75" customHeight="1">
      <c r="C300" s="102"/>
      <c r="I300" s="71"/>
    </row>
    <row r="301" ht="15.75" customHeight="1">
      <c r="C301" s="102"/>
      <c r="I301" s="71"/>
    </row>
    <row r="302" ht="15.75" customHeight="1">
      <c r="C302" s="102"/>
      <c r="I302" s="71"/>
    </row>
    <row r="303" ht="15.75" customHeight="1">
      <c r="C303" s="102"/>
      <c r="I303" s="71"/>
    </row>
    <row r="304" ht="15.75" customHeight="1">
      <c r="C304" s="102"/>
      <c r="I304" s="71"/>
    </row>
    <row r="305" ht="15.75" customHeight="1">
      <c r="C305" s="102"/>
      <c r="I305" s="71"/>
    </row>
    <row r="306" ht="15.75" customHeight="1">
      <c r="C306" s="102"/>
      <c r="I306" s="71"/>
    </row>
    <row r="307" ht="15.75" customHeight="1">
      <c r="C307" s="102"/>
      <c r="I307" s="71"/>
    </row>
    <row r="308" ht="15.75" customHeight="1">
      <c r="C308" s="102"/>
      <c r="I308" s="71"/>
    </row>
    <row r="309" ht="15.75" customHeight="1">
      <c r="C309" s="102"/>
      <c r="I309" s="71"/>
    </row>
    <row r="310" ht="15.75" customHeight="1">
      <c r="C310" s="102"/>
      <c r="I310" s="71"/>
    </row>
    <row r="311" ht="15.75" customHeight="1">
      <c r="C311" s="102"/>
      <c r="I311" s="71"/>
    </row>
    <row r="312" ht="15.75" customHeight="1">
      <c r="C312" s="102"/>
      <c r="I312" s="71"/>
    </row>
    <row r="313" ht="15.75" customHeight="1">
      <c r="C313" s="102"/>
      <c r="I313" s="71"/>
    </row>
    <row r="314" ht="15.75" customHeight="1">
      <c r="C314" s="102"/>
      <c r="I314" s="71"/>
    </row>
    <row r="315" ht="15.75" customHeight="1">
      <c r="C315" s="102"/>
      <c r="I315" s="71"/>
    </row>
    <row r="316" ht="15.75" customHeight="1">
      <c r="C316" s="102"/>
      <c r="I316" s="71"/>
    </row>
    <row r="317" ht="15.75" customHeight="1">
      <c r="C317" s="102"/>
      <c r="I317" s="71"/>
    </row>
    <row r="318" ht="15.75" customHeight="1">
      <c r="C318" s="102"/>
      <c r="I318" s="71"/>
    </row>
    <row r="319" ht="15.75" customHeight="1">
      <c r="C319" s="102"/>
      <c r="I319" s="71"/>
    </row>
    <row r="320" ht="15.75" customHeight="1">
      <c r="C320" s="102"/>
      <c r="I320" s="71"/>
    </row>
    <row r="321" ht="15.75" customHeight="1">
      <c r="C321" s="102"/>
      <c r="I321" s="71"/>
    </row>
    <row r="322" ht="15.75" customHeight="1">
      <c r="C322" s="102"/>
      <c r="I322" s="71"/>
    </row>
    <row r="323" ht="15.75" customHeight="1">
      <c r="C323" s="102"/>
      <c r="I323" s="71"/>
    </row>
    <row r="324" ht="15.75" customHeight="1">
      <c r="C324" s="102"/>
      <c r="I324" s="71"/>
    </row>
    <row r="325" ht="15.75" customHeight="1">
      <c r="C325" s="102"/>
      <c r="I325" s="71"/>
    </row>
    <row r="326" ht="15.75" customHeight="1">
      <c r="C326" s="102"/>
      <c r="I326" s="71"/>
    </row>
    <row r="327" ht="15.75" customHeight="1">
      <c r="C327" s="102"/>
      <c r="I327" s="71"/>
    </row>
    <row r="328" ht="15.75" customHeight="1">
      <c r="C328" s="102"/>
      <c r="I328" s="71"/>
    </row>
    <row r="329" ht="15.75" customHeight="1">
      <c r="C329" s="102"/>
      <c r="I329" s="71"/>
    </row>
    <row r="330" ht="15.75" customHeight="1">
      <c r="C330" s="102"/>
      <c r="I330" s="71"/>
    </row>
    <row r="331" ht="15.75" customHeight="1">
      <c r="C331" s="102"/>
      <c r="I331" s="71"/>
    </row>
    <row r="332" ht="15.75" customHeight="1">
      <c r="C332" s="102"/>
      <c r="I332" s="71"/>
    </row>
    <row r="333" ht="15.75" customHeight="1">
      <c r="C333" s="102"/>
      <c r="I333" s="71"/>
    </row>
    <row r="334" ht="15.75" customHeight="1">
      <c r="C334" s="102"/>
      <c r="I334" s="71"/>
    </row>
    <row r="335" ht="15.75" customHeight="1">
      <c r="C335" s="102"/>
      <c r="I335" s="71"/>
    </row>
    <row r="336" ht="15.75" customHeight="1">
      <c r="C336" s="102"/>
      <c r="I336" s="71"/>
    </row>
    <row r="337" ht="15.75" customHeight="1">
      <c r="C337" s="102"/>
      <c r="I337" s="71"/>
    </row>
    <row r="338" ht="15.75" customHeight="1">
      <c r="C338" s="102"/>
      <c r="I338" s="71"/>
    </row>
    <row r="339" ht="15.75" customHeight="1">
      <c r="C339" s="102"/>
      <c r="I339" s="71"/>
    </row>
    <row r="340" ht="15.75" customHeight="1">
      <c r="C340" s="102"/>
      <c r="I340" s="71"/>
    </row>
    <row r="341" ht="15.75" customHeight="1">
      <c r="C341" s="102"/>
      <c r="I341" s="71"/>
    </row>
    <row r="342" ht="15.75" customHeight="1">
      <c r="C342" s="102"/>
      <c r="I342" s="71"/>
    </row>
    <row r="343" ht="15.75" customHeight="1">
      <c r="C343" s="102"/>
      <c r="I343" s="71"/>
    </row>
    <row r="344" ht="15.75" customHeight="1">
      <c r="C344" s="102"/>
      <c r="I344" s="71"/>
    </row>
    <row r="345" ht="15.75" customHeight="1">
      <c r="C345" s="102"/>
      <c r="I345" s="71"/>
    </row>
    <row r="346" ht="15.75" customHeight="1">
      <c r="C346" s="102"/>
      <c r="I346" s="71"/>
    </row>
    <row r="347" ht="15.75" customHeight="1">
      <c r="C347" s="102"/>
      <c r="I347" s="71"/>
    </row>
    <row r="348" ht="15.75" customHeight="1">
      <c r="C348" s="102"/>
      <c r="I348" s="71"/>
    </row>
    <row r="349" ht="15.75" customHeight="1">
      <c r="C349" s="102"/>
      <c r="I349" s="71"/>
    </row>
    <row r="350" ht="15.75" customHeight="1">
      <c r="C350" s="102"/>
      <c r="I350" s="71"/>
    </row>
    <row r="351" ht="15.75" customHeight="1">
      <c r="C351" s="102"/>
      <c r="I351" s="71"/>
    </row>
    <row r="352" ht="15.75" customHeight="1">
      <c r="C352" s="102"/>
      <c r="I352" s="71"/>
    </row>
    <row r="353" ht="15.75" customHeight="1">
      <c r="C353" s="102"/>
      <c r="I353" s="71"/>
    </row>
    <row r="354" ht="15.75" customHeight="1">
      <c r="C354" s="102"/>
      <c r="I354" s="71"/>
    </row>
    <row r="355" ht="15.75" customHeight="1">
      <c r="C355" s="102"/>
      <c r="I355" s="71"/>
    </row>
    <row r="356" ht="15.75" customHeight="1">
      <c r="C356" s="102"/>
      <c r="I356" s="71"/>
    </row>
    <row r="357" ht="15.75" customHeight="1">
      <c r="C357" s="102"/>
      <c r="I357" s="71"/>
    </row>
    <row r="358" ht="15.75" customHeight="1">
      <c r="C358" s="102"/>
      <c r="I358" s="71"/>
    </row>
    <row r="359" ht="15.75" customHeight="1">
      <c r="C359" s="102"/>
      <c r="I359" s="71"/>
    </row>
    <row r="360" ht="15.75" customHeight="1">
      <c r="C360" s="102"/>
      <c r="I360" s="71"/>
    </row>
    <row r="361" ht="15.75" customHeight="1">
      <c r="C361" s="102"/>
      <c r="I361" s="71"/>
    </row>
    <row r="362" ht="15.75" customHeight="1">
      <c r="C362" s="102"/>
      <c r="I362" s="71"/>
    </row>
    <row r="363" ht="15.75" customHeight="1">
      <c r="C363" s="102"/>
      <c r="I363" s="71"/>
    </row>
    <row r="364" ht="15.75" customHeight="1">
      <c r="C364" s="102"/>
      <c r="I364" s="71"/>
    </row>
    <row r="365" ht="15.75" customHeight="1">
      <c r="C365" s="102"/>
      <c r="I365" s="71"/>
    </row>
    <row r="366" ht="15.75" customHeight="1">
      <c r="C366" s="102"/>
      <c r="I366" s="71"/>
    </row>
    <row r="367" ht="15.75" customHeight="1">
      <c r="C367" s="102"/>
      <c r="I367" s="71"/>
    </row>
    <row r="368" ht="15.75" customHeight="1">
      <c r="C368" s="102"/>
      <c r="I368" s="71"/>
    </row>
    <row r="369" ht="15.75" customHeight="1">
      <c r="C369" s="102"/>
      <c r="I369" s="71"/>
    </row>
    <row r="370" ht="15.75" customHeight="1">
      <c r="C370" s="102"/>
      <c r="I370" s="71"/>
    </row>
    <row r="371" ht="15.75" customHeight="1">
      <c r="C371" s="102"/>
      <c r="I371" s="71"/>
    </row>
    <row r="372" ht="15.75" customHeight="1">
      <c r="C372" s="102"/>
      <c r="I372" s="71"/>
    </row>
    <row r="373" ht="15.75" customHeight="1">
      <c r="C373" s="102"/>
      <c r="I373" s="71"/>
    </row>
    <row r="374" ht="15.75" customHeight="1">
      <c r="C374" s="102"/>
      <c r="I374" s="71"/>
    </row>
    <row r="375" ht="15.75" customHeight="1">
      <c r="C375" s="102"/>
      <c r="I375" s="71"/>
    </row>
    <row r="376" ht="15.75" customHeight="1">
      <c r="C376" s="102"/>
      <c r="I376" s="71"/>
    </row>
    <row r="377" ht="15.75" customHeight="1">
      <c r="C377" s="102"/>
      <c r="I377" s="71"/>
    </row>
    <row r="378" ht="15.75" customHeight="1">
      <c r="C378" s="102"/>
      <c r="I378" s="71"/>
    </row>
    <row r="379" ht="15.75" customHeight="1">
      <c r="C379" s="102"/>
      <c r="I379" s="71"/>
    </row>
    <row r="380" ht="15.75" customHeight="1">
      <c r="C380" s="102"/>
      <c r="I380" s="71"/>
    </row>
    <row r="381" ht="15.75" customHeight="1">
      <c r="C381" s="102"/>
      <c r="I381" s="71"/>
    </row>
    <row r="382" ht="15.75" customHeight="1">
      <c r="C382" s="102"/>
      <c r="I382" s="71"/>
    </row>
    <row r="383" ht="15.75" customHeight="1">
      <c r="C383" s="102"/>
      <c r="I383" s="71"/>
    </row>
    <row r="384" ht="15.75" customHeight="1">
      <c r="C384" s="102"/>
      <c r="I384" s="71"/>
    </row>
    <row r="385" ht="15.75" customHeight="1">
      <c r="C385" s="102"/>
      <c r="I385" s="71"/>
    </row>
    <row r="386" ht="15.75" customHeight="1">
      <c r="C386" s="102"/>
      <c r="I386" s="71"/>
    </row>
    <row r="387" ht="15.75" customHeight="1">
      <c r="C387" s="102"/>
      <c r="I387" s="71"/>
    </row>
    <row r="388" ht="15.75" customHeight="1">
      <c r="C388" s="102"/>
      <c r="I388" s="71"/>
    </row>
    <row r="389" ht="15.75" customHeight="1">
      <c r="C389" s="102"/>
      <c r="I389" s="71"/>
    </row>
    <row r="390" ht="15.75" customHeight="1">
      <c r="C390" s="102"/>
      <c r="I390" s="71"/>
    </row>
    <row r="391" ht="15.75" customHeight="1">
      <c r="C391" s="102"/>
      <c r="I391" s="71"/>
    </row>
    <row r="392" ht="15.75" customHeight="1">
      <c r="C392" s="102"/>
      <c r="I392" s="71"/>
    </row>
    <row r="393" ht="15.75" customHeight="1">
      <c r="C393" s="102"/>
      <c r="I393" s="71"/>
    </row>
    <row r="394" ht="15.75" customHeight="1">
      <c r="C394" s="102"/>
      <c r="I394" s="71"/>
    </row>
    <row r="395" ht="15.75" customHeight="1">
      <c r="C395" s="102"/>
      <c r="I395" s="71"/>
    </row>
    <row r="396" ht="15.75" customHeight="1">
      <c r="C396" s="102"/>
      <c r="I396" s="71"/>
    </row>
    <row r="397" ht="15.75" customHeight="1">
      <c r="C397" s="102"/>
      <c r="I397" s="71"/>
    </row>
    <row r="398" ht="15.75" customHeight="1">
      <c r="C398" s="102"/>
      <c r="I398" s="71"/>
    </row>
    <row r="399" ht="15.75" customHeight="1">
      <c r="C399" s="102"/>
      <c r="I399" s="71"/>
    </row>
    <row r="400" ht="15.75" customHeight="1">
      <c r="C400" s="102"/>
      <c r="I400" s="71"/>
    </row>
    <row r="401" ht="15.75" customHeight="1">
      <c r="C401" s="102"/>
      <c r="I401" s="71"/>
    </row>
    <row r="402" ht="15.75" customHeight="1">
      <c r="C402" s="102"/>
      <c r="I402" s="71"/>
    </row>
    <row r="403" ht="15.75" customHeight="1">
      <c r="C403" s="102"/>
      <c r="I403" s="71"/>
    </row>
    <row r="404" ht="15.75" customHeight="1">
      <c r="C404" s="102"/>
      <c r="I404" s="71"/>
    </row>
    <row r="405" ht="15.75" customHeight="1">
      <c r="C405" s="102"/>
      <c r="I405" s="71"/>
    </row>
    <row r="406" ht="15.75" customHeight="1">
      <c r="C406" s="102"/>
      <c r="I406" s="71"/>
    </row>
    <row r="407" ht="15.75" customHeight="1">
      <c r="C407" s="102"/>
      <c r="I407" s="71"/>
    </row>
    <row r="408" ht="15.75" customHeight="1">
      <c r="C408" s="102"/>
      <c r="I408" s="71"/>
    </row>
    <row r="409" ht="15.75" customHeight="1">
      <c r="C409" s="102"/>
      <c r="I409" s="71"/>
    </row>
    <row r="410" ht="15.75" customHeight="1">
      <c r="C410" s="102"/>
      <c r="I410" s="71"/>
    </row>
    <row r="411" ht="15.75" customHeight="1">
      <c r="C411" s="102"/>
      <c r="I411" s="71"/>
    </row>
    <row r="412" ht="15.75" customHeight="1">
      <c r="C412" s="102"/>
      <c r="I412" s="71"/>
    </row>
    <row r="413" ht="15.75" customHeight="1">
      <c r="C413" s="102"/>
      <c r="I413" s="71"/>
    </row>
    <row r="414" ht="15.75" customHeight="1">
      <c r="C414" s="102"/>
      <c r="I414" s="71"/>
    </row>
    <row r="415" ht="15.75" customHeight="1">
      <c r="C415" s="102"/>
      <c r="I415" s="71"/>
    </row>
    <row r="416" ht="15.75" customHeight="1">
      <c r="C416" s="102"/>
      <c r="I416" s="71"/>
    </row>
    <row r="417" ht="15.75" customHeight="1">
      <c r="C417" s="102"/>
      <c r="I417" s="71"/>
    </row>
    <row r="418" ht="15.75" customHeight="1">
      <c r="C418" s="102"/>
      <c r="I418" s="71"/>
    </row>
    <row r="419" ht="15.75" customHeight="1">
      <c r="C419" s="102"/>
      <c r="I419" s="71"/>
    </row>
    <row r="420" ht="15.75" customHeight="1">
      <c r="C420" s="102"/>
      <c r="I420" s="71"/>
    </row>
    <row r="421" ht="15.75" customHeight="1">
      <c r="C421" s="102"/>
      <c r="I421" s="71"/>
    </row>
    <row r="422" ht="15.75" customHeight="1">
      <c r="C422" s="102"/>
      <c r="I422" s="71"/>
    </row>
    <row r="423" ht="15.75" customHeight="1">
      <c r="C423" s="102"/>
      <c r="I423" s="71"/>
    </row>
    <row r="424" ht="15.75" customHeight="1">
      <c r="C424" s="102"/>
      <c r="I424" s="71"/>
    </row>
    <row r="425" ht="15.75" customHeight="1">
      <c r="C425" s="102"/>
      <c r="I425" s="71"/>
    </row>
    <row r="426" ht="15.75" customHeight="1">
      <c r="C426" s="102"/>
      <c r="I426" s="71"/>
    </row>
    <row r="427" ht="15.75" customHeight="1">
      <c r="C427" s="102"/>
      <c r="I427" s="71"/>
    </row>
    <row r="428" ht="15.75" customHeight="1">
      <c r="C428" s="102"/>
      <c r="I428" s="71"/>
    </row>
    <row r="429" ht="15.75" customHeight="1">
      <c r="C429" s="102"/>
      <c r="I429" s="71"/>
    </row>
    <row r="430" ht="15.75" customHeight="1">
      <c r="C430" s="102"/>
      <c r="I430" s="71"/>
    </row>
    <row r="431" ht="15.75" customHeight="1">
      <c r="C431" s="102"/>
      <c r="I431" s="71"/>
    </row>
    <row r="432" ht="15.75" customHeight="1">
      <c r="C432" s="102"/>
      <c r="I432" s="71"/>
    </row>
    <row r="433" ht="15.75" customHeight="1">
      <c r="C433" s="102"/>
      <c r="I433" s="71"/>
    </row>
    <row r="434" ht="15.75" customHeight="1">
      <c r="C434" s="102"/>
      <c r="I434" s="71"/>
    </row>
    <row r="435" ht="15.75" customHeight="1">
      <c r="C435" s="102"/>
      <c r="I435" s="71"/>
    </row>
    <row r="436" ht="15.75" customHeight="1">
      <c r="C436" s="102"/>
      <c r="I436" s="71"/>
    </row>
    <row r="437" ht="15.75" customHeight="1">
      <c r="C437" s="102"/>
      <c r="I437" s="71"/>
    </row>
    <row r="438" ht="15.75" customHeight="1">
      <c r="C438" s="102"/>
      <c r="I438" s="71"/>
    </row>
    <row r="439" ht="15.75" customHeight="1">
      <c r="C439" s="102"/>
      <c r="I439" s="71"/>
    </row>
    <row r="440" ht="15.75" customHeight="1">
      <c r="C440" s="102"/>
      <c r="I440" s="71"/>
    </row>
    <row r="441" ht="15.75" customHeight="1">
      <c r="C441" s="102"/>
      <c r="I441" s="71"/>
    </row>
    <row r="442" ht="15.75" customHeight="1">
      <c r="C442" s="102"/>
      <c r="I442" s="71"/>
    </row>
    <row r="443" ht="15.75" customHeight="1">
      <c r="C443" s="102"/>
      <c r="I443" s="71"/>
    </row>
    <row r="444" ht="15.75" customHeight="1">
      <c r="C444" s="102"/>
      <c r="I444" s="71"/>
    </row>
    <row r="445" ht="15.75" customHeight="1">
      <c r="C445" s="102"/>
      <c r="I445" s="71"/>
    </row>
    <row r="446" ht="15.75" customHeight="1">
      <c r="C446" s="102"/>
      <c r="I446" s="71"/>
    </row>
    <row r="447" ht="15.75" customHeight="1">
      <c r="C447" s="102"/>
      <c r="I447" s="71"/>
    </row>
    <row r="448" ht="15.75" customHeight="1">
      <c r="C448" s="102"/>
      <c r="I448" s="71"/>
    </row>
    <row r="449" ht="15.75" customHeight="1">
      <c r="C449" s="102"/>
      <c r="I449" s="71"/>
    </row>
    <row r="450" ht="15.75" customHeight="1">
      <c r="C450" s="102"/>
      <c r="I450" s="71"/>
    </row>
    <row r="451" ht="15.75" customHeight="1">
      <c r="C451" s="102"/>
      <c r="I451" s="71"/>
    </row>
    <row r="452" ht="15.75" customHeight="1">
      <c r="C452" s="102"/>
      <c r="I452" s="71"/>
    </row>
    <row r="453" ht="15.75" customHeight="1">
      <c r="C453" s="102"/>
      <c r="I453" s="71"/>
    </row>
    <row r="454" ht="15.75" customHeight="1">
      <c r="C454" s="102"/>
      <c r="I454" s="71"/>
    </row>
    <row r="455" ht="15.75" customHeight="1">
      <c r="C455" s="102"/>
      <c r="I455" s="71"/>
    </row>
    <row r="456" ht="15.75" customHeight="1">
      <c r="C456" s="102"/>
      <c r="I456" s="71"/>
    </row>
    <row r="457" ht="15.75" customHeight="1">
      <c r="C457" s="102"/>
      <c r="I457" s="71"/>
    </row>
    <row r="458" ht="15.75" customHeight="1">
      <c r="C458" s="102"/>
      <c r="I458" s="71"/>
    </row>
    <row r="459" ht="15.75" customHeight="1">
      <c r="C459" s="102"/>
      <c r="I459" s="71"/>
    </row>
    <row r="460" ht="15.75" customHeight="1">
      <c r="C460" s="102"/>
      <c r="I460" s="71"/>
    </row>
    <row r="461" ht="15.75" customHeight="1">
      <c r="C461" s="102"/>
      <c r="I461" s="71"/>
    </row>
    <row r="462" ht="15.75" customHeight="1">
      <c r="C462" s="102"/>
      <c r="I462" s="71"/>
    </row>
    <row r="463" ht="15.75" customHeight="1">
      <c r="C463" s="102"/>
      <c r="I463" s="71"/>
    </row>
    <row r="464" ht="15.75" customHeight="1">
      <c r="C464" s="102"/>
      <c r="I464" s="71"/>
    </row>
    <row r="465" ht="15.75" customHeight="1">
      <c r="C465" s="102"/>
      <c r="I465" s="71"/>
    </row>
    <row r="466" ht="15.75" customHeight="1">
      <c r="C466" s="102"/>
      <c r="I466" s="71"/>
    </row>
    <row r="467" ht="15.75" customHeight="1">
      <c r="C467" s="102"/>
      <c r="I467" s="71"/>
    </row>
    <row r="468" ht="15.75" customHeight="1">
      <c r="C468" s="102"/>
      <c r="I468" s="71"/>
    </row>
    <row r="469" ht="15.75" customHeight="1">
      <c r="C469" s="102"/>
      <c r="I469" s="71"/>
    </row>
    <row r="470" ht="15.75" customHeight="1">
      <c r="C470" s="102"/>
      <c r="I470" s="71"/>
    </row>
    <row r="471" ht="15.75" customHeight="1">
      <c r="C471" s="102"/>
      <c r="I471" s="71"/>
    </row>
    <row r="472" ht="15.75" customHeight="1">
      <c r="C472" s="102"/>
      <c r="I472" s="71"/>
    </row>
    <row r="473" ht="15.75" customHeight="1">
      <c r="C473" s="102"/>
      <c r="I473" s="71"/>
    </row>
    <row r="474" ht="15.75" customHeight="1">
      <c r="C474" s="102"/>
      <c r="I474" s="71"/>
    </row>
    <row r="475" ht="15.75" customHeight="1">
      <c r="C475" s="102"/>
      <c r="I475" s="71"/>
    </row>
    <row r="476" ht="15.75" customHeight="1">
      <c r="C476" s="102"/>
      <c r="I476" s="71"/>
    </row>
    <row r="477" ht="15.75" customHeight="1">
      <c r="C477" s="102"/>
      <c r="I477" s="71"/>
    </row>
    <row r="478" ht="15.75" customHeight="1">
      <c r="C478" s="102"/>
      <c r="I478" s="71"/>
    </row>
    <row r="479" ht="15.75" customHeight="1">
      <c r="C479" s="102"/>
      <c r="I479" s="71"/>
    </row>
    <row r="480" ht="15.75" customHeight="1">
      <c r="C480" s="102"/>
      <c r="I480" s="71"/>
    </row>
    <row r="481" ht="15.75" customHeight="1">
      <c r="C481" s="102"/>
      <c r="I481" s="71"/>
    </row>
    <row r="482" ht="15.75" customHeight="1">
      <c r="C482" s="102"/>
      <c r="I482" s="71"/>
    </row>
    <row r="483" ht="15.75" customHeight="1">
      <c r="C483" s="102"/>
      <c r="I483" s="71"/>
    </row>
    <row r="484" ht="15.75" customHeight="1">
      <c r="C484" s="102"/>
      <c r="I484" s="71"/>
    </row>
    <row r="485" ht="15.75" customHeight="1">
      <c r="C485" s="102"/>
      <c r="I485" s="71"/>
    </row>
    <row r="486" ht="15.75" customHeight="1">
      <c r="C486" s="102"/>
      <c r="I486" s="71"/>
    </row>
    <row r="487" ht="15.75" customHeight="1">
      <c r="C487" s="102"/>
      <c r="I487" s="71"/>
    </row>
    <row r="488" ht="15.75" customHeight="1">
      <c r="C488" s="102"/>
      <c r="I488" s="71"/>
    </row>
    <row r="489" ht="15.75" customHeight="1">
      <c r="C489" s="102"/>
      <c r="I489" s="71"/>
    </row>
    <row r="490" ht="15.75" customHeight="1">
      <c r="C490" s="102"/>
      <c r="I490" s="71"/>
    </row>
    <row r="491" ht="15.75" customHeight="1">
      <c r="C491" s="102"/>
      <c r="I491" s="71"/>
    </row>
    <row r="492" ht="15.75" customHeight="1">
      <c r="C492" s="102"/>
      <c r="I492" s="71"/>
    </row>
    <row r="493" ht="15.75" customHeight="1">
      <c r="C493" s="102"/>
      <c r="I493" s="71"/>
    </row>
    <row r="494" ht="15.75" customHeight="1">
      <c r="C494" s="102"/>
      <c r="I494" s="71"/>
    </row>
    <row r="495" ht="15.75" customHeight="1">
      <c r="C495" s="102"/>
      <c r="I495" s="71"/>
    </row>
    <row r="496" ht="15.75" customHeight="1">
      <c r="C496" s="102"/>
      <c r="I496" s="71"/>
    </row>
    <row r="497" ht="15.75" customHeight="1">
      <c r="C497" s="102"/>
      <c r="I497" s="71"/>
    </row>
    <row r="498" ht="15.75" customHeight="1">
      <c r="C498" s="102"/>
      <c r="I498" s="71"/>
    </row>
    <row r="499" ht="15.75" customHeight="1">
      <c r="C499" s="102"/>
      <c r="I499" s="71"/>
    </row>
    <row r="500" ht="15.75" customHeight="1">
      <c r="C500" s="102"/>
      <c r="I500" s="71"/>
    </row>
    <row r="501" ht="15.75" customHeight="1">
      <c r="C501" s="102"/>
      <c r="I501" s="71"/>
    </row>
    <row r="502" ht="15.75" customHeight="1">
      <c r="C502" s="102"/>
      <c r="I502" s="71"/>
    </row>
    <row r="503" ht="15.75" customHeight="1">
      <c r="C503" s="102"/>
      <c r="I503" s="71"/>
    </row>
    <row r="504" ht="15.75" customHeight="1">
      <c r="C504" s="102"/>
      <c r="I504" s="71"/>
    </row>
    <row r="505" ht="15.75" customHeight="1">
      <c r="C505" s="102"/>
      <c r="I505" s="71"/>
    </row>
    <row r="506" ht="15.75" customHeight="1">
      <c r="C506" s="102"/>
      <c r="I506" s="71"/>
    </row>
    <row r="507" ht="15.75" customHeight="1">
      <c r="C507" s="102"/>
      <c r="I507" s="71"/>
    </row>
    <row r="508" ht="15.75" customHeight="1">
      <c r="C508" s="102"/>
      <c r="I508" s="71"/>
    </row>
    <row r="509" ht="15.75" customHeight="1">
      <c r="C509" s="102"/>
      <c r="I509" s="71"/>
    </row>
    <row r="510" ht="15.75" customHeight="1">
      <c r="C510" s="102"/>
      <c r="I510" s="71"/>
    </row>
    <row r="511" ht="15.75" customHeight="1">
      <c r="C511" s="102"/>
      <c r="I511" s="71"/>
    </row>
    <row r="512" ht="15.75" customHeight="1">
      <c r="C512" s="102"/>
      <c r="I512" s="71"/>
    </row>
    <row r="513" ht="15.75" customHeight="1">
      <c r="C513" s="102"/>
      <c r="I513" s="71"/>
    </row>
    <row r="514" ht="15.75" customHeight="1">
      <c r="C514" s="102"/>
      <c r="I514" s="71"/>
    </row>
    <row r="515" ht="15.75" customHeight="1">
      <c r="C515" s="102"/>
      <c r="I515" s="71"/>
    </row>
    <row r="516" ht="15.75" customHeight="1">
      <c r="C516" s="102"/>
      <c r="I516" s="71"/>
    </row>
    <row r="517" ht="15.75" customHeight="1">
      <c r="C517" s="102"/>
      <c r="I517" s="71"/>
    </row>
    <row r="518" ht="15.75" customHeight="1">
      <c r="C518" s="102"/>
      <c r="I518" s="71"/>
    </row>
    <row r="519" ht="15.75" customHeight="1">
      <c r="C519" s="102"/>
      <c r="I519" s="71"/>
    </row>
    <row r="520" ht="15.75" customHeight="1">
      <c r="C520" s="102"/>
      <c r="I520" s="71"/>
    </row>
    <row r="521" ht="15.75" customHeight="1">
      <c r="C521" s="102"/>
      <c r="I521" s="71"/>
    </row>
    <row r="522" ht="15.75" customHeight="1">
      <c r="C522" s="102"/>
      <c r="I522" s="71"/>
    </row>
    <row r="523" ht="15.75" customHeight="1">
      <c r="C523" s="102"/>
      <c r="I523" s="71"/>
    </row>
    <row r="524" ht="15.75" customHeight="1">
      <c r="C524" s="102"/>
      <c r="I524" s="71"/>
    </row>
    <row r="525" ht="15.75" customHeight="1">
      <c r="C525" s="102"/>
      <c r="I525" s="71"/>
    </row>
    <row r="526" ht="15.75" customHeight="1">
      <c r="C526" s="102"/>
      <c r="I526" s="71"/>
    </row>
    <row r="527" ht="15.75" customHeight="1">
      <c r="C527" s="102"/>
      <c r="I527" s="71"/>
    </row>
    <row r="528" ht="15.75" customHeight="1">
      <c r="C528" s="102"/>
      <c r="I528" s="71"/>
    </row>
    <row r="529" ht="15.75" customHeight="1">
      <c r="C529" s="102"/>
      <c r="I529" s="71"/>
    </row>
    <row r="530" ht="15.75" customHeight="1">
      <c r="C530" s="102"/>
      <c r="I530" s="71"/>
    </row>
    <row r="531" ht="15.75" customHeight="1">
      <c r="C531" s="102"/>
      <c r="I531" s="71"/>
    </row>
    <row r="532" ht="15.75" customHeight="1">
      <c r="C532" s="102"/>
      <c r="I532" s="71"/>
    </row>
    <row r="533" ht="15.75" customHeight="1">
      <c r="C533" s="102"/>
      <c r="I533" s="71"/>
    </row>
    <row r="534" ht="15.75" customHeight="1">
      <c r="C534" s="102"/>
      <c r="I534" s="71"/>
    </row>
    <row r="535" ht="15.75" customHeight="1">
      <c r="C535" s="102"/>
      <c r="I535" s="71"/>
    </row>
    <row r="536" ht="15.75" customHeight="1">
      <c r="C536" s="102"/>
      <c r="I536" s="71"/>
    </row>
    <row r="537" ht="15.75" customHeight="1">
      <c r="C537" s="102"/>
      <c r="I537" s="71"/>
    </row>
    <row r="538" ht="15.75" customHeight="1">
      <c r="C538" s="102"/>
      <c r="I538" s="71"/>
    </row>
    <row r="539" ht="15.75" customHeight="1">
      <c r="C539" s="102"/>
      <c r="I539" s="71"/>
    </row>
    <row r="540" ht="15.75" customHeight="1">
      <c r="C540" s="102"/>
      <c r="I540" s="71"/>
    </row>
    <row r="541" ht="15.75" customHeight="1">
      <c r="C541" s="102"/>
      <c r="I541" s="71"/>
    </row>
    <row r="542" ht="15.75" customHeight="1">
      <c r="C542" s="102"/>
      <c r="I542" s="71"/>
    </row>
    <row r="543" ht="15.75" customHeight="1">
      <c r="C543" s="102"/>
      <c r="I543" s="71"/>
    </row>
    <row r="544" ht="15.75" customHeight="1">
      <c r="C544" s="102"/>
      <c r="I544" s="71"/>
    </row>
    <row r="545" ht="15.75" customHeight="1">
      <c r="C545" s="102"/>
      <c r="I545" s="71"/>
    </row>
    <row r="546" ht="15.75" customHeight="1">
      <c r="C546" s="102"/>
      <c r="I546" s="71"/>
    </row>
    <row r="547" ht="15.75" customHeight="1">
      <c r="C547" s="102"/>
      <c r="I547" s="71"/>
    </row>
    <row r="548" ht="15.75" customHeight="1">
      <c r="C548" s="102"/>
      <c r="I548" s="71"/>
    </row>
    <row r="549" ht="15.75" customHeight="1">
      <c r="C549" s="102"/>
      <c r="I549" s="71"/>
    </row>
    <row r="550" ht="15.75" customHeight="1">
      <c r="C550" s="102"/>
      <c r="I550" s="71"/>
    </row>
    <row r="551" ht="15.75" customHeight="1">
      <c r="C551" s="102"/>
      <c r="I551" s="71"/>
    </row>
    <row r="552" ht="15.75" customHeight="1">
      <c r="C552" s="102"/>
      <c r="I552" s="71"/>
    </row>
    <row r="553" ht="15.75" customHeight="1">
      <c r="C553" s="102"/>
      <c r="I553" s="71"/>
    </row>
    <row r="554" ht="15.75" customHeight="1">
      <c r="C554" s="102"/>
      <c r="I554" s="71"/>
    </row>
    <row r="555" ht="15.75" customHeight="1">
      <c r="C555" s="102"/>
      <c r="I555" s="71"/>
    </row>
    <row r="556" ht="15.75" customHeight="1">
      <c r="C556" s="102"/>
      <c r="I556" s="71"/>
    </row>
    <row r="557" ht="15.75" customHeight="1">
      <c r="C557" s="102"/>
      <c r="I557" s="71"/>
    </row>
    <row r="558" ht="15.75" customHeight="1">
      <c r="C558" s="102"/>
      <c r="I558" s="71"/>
    </row>
    <row r="559" ht="15.75" customHeight="1">
      <c r="C559" s="102"/>
      <c r="I559" s="71"/>
    </row>
    <row r="560" ht="15.75" customHeight="1">
      <c r="C560" s="102"/>
      <c r="I560" s="71"/>
    </row>
    <row r="561" ht="15.75" customHeight="1">
      <c r="C561" s="102"/>
      <c r="I561" s="71"/>
    </row>
    <row r="562" ht="15.75" customHeight="1">
      <c r="C562" s="102"/>
      <c r="I562" s="71"/>
    </row>
    <row r="563" ht="15.75" customHeight="1">
      <c r="C563" s="102"/>
      <c r="I563" s="71"/>
    </row>
    <row r="564" ht="15.75" customHeight="1">
      <c r="C564" s="102"/>
      <c r="I564" s="71"/>
    </row>
    <row r="565" ht="15.75" customHeight="1">
      <c r="C565" s="102"/>
      <c r="I565" s="71"/>
    </row>
    <row r="566" ht="15.75" customHeight="1">
      <c r="C566" s="102"/>
      <c r="I566" s="71"/>
    </row>
    <row r="567" ht="15.75" customHeight="1">
      <c r="C567" s="102"/>
      <c r="I567" s="71"/>
    </row>
    <row r="568" ht="15.75" customHeight="1">
      <c r="C568" s="102"/>
      <c r="I568" s="71"/>
    </row>
    <row r="569" ht="15.75" customHeight="1">
      <c r="C569" s="102"/>
      <c r="I569" s="71"/>
    </row>
    <row r="570" ht="15.75" customHeight="1">
      <c r="C570" s="102"/>
      <c r="I570" s="71"/>
    </row>
    <row r="571" ht="15.75" customHeight="1">
      <c r="C571" s="102"/>
      <c r="I571" s="71"/>
    </row>
    <row r="572" ht="15.75" customHeight="1">
      <c r="C572" s="102"/>
      <c r="I572" s="71"/>
    </row>
    <row r="573" ht="15.75" customHeight="1">
      <c r="C573" s="102"/>
      <c r="I573" s="71"/>
    </row>
    <row r="574" ht="15.75" customHeight="1">
      <c r="C574" s="102"/>
      <c r="I574" s="71"/>
    </row>
    <row r="575" ht="15.75" customHeight="1">
      <c r="C575" s="102"/>
      <c r="I575" s="71"/>
    </row>
    <row r="576" ht="15.75" customHeight="1">
      <c r="C576" s="102"/>
      <c r="I576" s="71"/>
    </row>
    <row r="577" ht="15.75" customHeight="1">
      <c r="C577" s="102"/>
      <c r="I577" s="71"/>
    </row>
    <row r="578" ht="15.75" customHeight="1">
      <c r="C578" s="102"/>
      <c r="I578" s="71"/>
    </row>
    <row r="579" ht="15.75" customHeight="1">
      <c r="C579" s="102"/>
      <c r="I579" s="71"/>
    </row>
    <row r="580" ht="15.75" customHeight="1">
      <c r="C580" s="102"/>
      <c r="I580" s="71"/>
    </row>
    <row r="581" ht="15.75" customHeight="1">
      <c r="C581" s="102"/>
      <c r="I581" s="71"/>
    </row>
    <row r="582" ht="15.75" customHeight="1">
      <c r="C582" s="102"/>
      <c r="I582" s="71"/>
    </row>
    <row r="583" ht="15.75" customHeight="1">
      <c r="C583" s="102"/>
      <c r="I583" s="71"/>
    </row>
    <row r="584" ht="15.75" customHeight="1">
      <c r="C584" s="102"/>
      <c r="I584" s="71"/>
    </row>
    <row r="585" ht="15.75" customHeight="1">
      <c r="C585" s="102"/>
      <c r="I585" s="71"/>
    </row>
    <row r="586" ht="15.75" customHeight="1">
      <c r="C586" s="102"/>
      <c r="I586" s="71"/>
    </row>
    <row r="587" ht="15.75" customHeight="1">
      <c r="C587" s="102"/>
      <c r="I587" s="71"/>
    </row>
    <row r="588" ht="15.75" customHeight="1">
      <c r="C588" s="102"/>
      <c r="I588" s="71"/>
    </row>
    <row r="589" ht="15.75" customHeight="1">
      <c r="C589" s="102"/>
      <c r="I589" s="71"/>
    </row>
    <row r="590" ht="15.75" customHeight="1">
      <c r="C590" s="102"/>
      <c r="I590" s="71"/>
    </row>
    <row r="591" ht="15.75" customHeight="1">
      <c r="C591" s="102"/>
      <c r="I591" s="71"/>
    </row>
    <row r="592" ht="15.75" customHeight="1">
      <c r="C592" s="102"/>
      <c r="I592" s="71"/>
    </row>
    <row r="593" ht="15.75" customHeight="1">
      <c r="C593" s="102"/>
      <c r="I593" s="71"/>
    </row>
    <row r="594" ht="15.75" customHeight="1">
      <c r="C594" s="102"/>
      <c r="I594" s="71"/>
    </row>
    <row r="595" ht="15.75" customHeight="1">
      <c r="C595" s="102"/>
      <c r="I595" s="71"/>
    </row>
    <row r="596" ht="15.75" customHeight="1">
      <c r="C596" s="102"/>
      <c r="I596" s="71"/>
    </row>
    <row r="597" ht="15.75" customHeight="1">
      <c r="C597" s="102"/>
      <c r="I597" s="71"/>
    </row>
    <row r="598" ht="15.75" customHeight="1">
      <c r="C598" s="102"/>
      <c r="I598" s="71"/>
    </row>
    <row r="599" ht="15.75" customHeight="1">
      <c r="C599" s="102"/>
      <c r="I599" s="71"/>
    </row>
    <row r="600" ht="15.75" customHeight="1">
      <c r="C600" s="102"/>
      <c r="I600" s="71"/>
    </row>
    <row r="601" ht="15.75" customHeight="1">
      <c r="C601" s="102"/>
      <c r="I601" s="71"/>
    </row>
    <row r="602" ht="15.75" customHeight="1">
      <c r="C602" s="102"/>
      <c r="I602" s="71"/>
    </row>
    <row r="603" ht="15.75" customHeight="1">
      <c r="C603" s="102"/>
      <c r="I603" s="71"/>
    </row>
    <row r="604" ht="15.75" customHeight="1">
      <c r="C604" s="102"/>
      <c r="I604" s="71"/>
    </row>
    <row r="605" ht="15.75" customHeight="1">
      <c r="C605" s="102"/>
      <c r="I605" s="71"/>
    </row>
    <row r="606" ht="15.75" customHeight="1">
      <c r="C606" s="102"/>
      <c r="I606" s="71"/>
    </row>
    <row r="607" ht="15.75" customHeight="1">
      <c r="C607" s="102"/>
      <c r="I607" s="71"/>
    </row>
    <row r="608" ht="15.75" customHeight="1">
      <c r="C608" s="102"/>
      <c r="I608" s="71"/>
    </row>
    <row r="609" ht="15.75" customHeight="1">
      <c r="C609" s="102"/>
      <c r="I609" s="71"/>
    </row>
    <row r="610" ht="15.75" customHeight="1">
      <c r="C610" s="102"/>
      <c r="I610" s="71"/>
    </row>
    <row r="611" ht="15.75" customHeight="1">
      <c r="C611" s="102"/>
      <c r="I611" s="71"/>
    </row>
    <row r="612" ht="15.75" customHeight="1">
      <c r="C612" s="102"/>
      <c r="I612" s="71"/>
    </row>
    <row r="613" ht="15.75" customHeight="1">
      <c r="C613" s="102"/>
      <c r="I613" s="71"/>
    </row>
    <row r="614" ht="15.75" customHeight="1">
      <c r="C614" s="102"/>
      <c r="I614" s="71"/>
    </row>
    <row r="615" ht="15.75" customHeight="1">
      <c r="C615" s="102"/>
      <c r="I615" s="71"/>
    </row>
    <row r="616" ht="15.75" customHeight="1">
      <c r="C616" s="102"/>
      <c r="I616" s="71"/>
    </row>
    <row r="617" ht="15.75" customHeight="1">
      <c r="C617" s="102"/>
      <c r="I617" s="71"/>
    </row>
    <row r="618" ht="15.75" customHeight="1">
      <c r="C618" s="102"/>
      <c r="I618" s="71"/>
    </row>
    <row r="619" ht="15.75" customHeight="1">
      <c r="C619" s="102"/>
      <c r="I619" s="71"/>
    </row>
    <row r="620" ht="15.75" customHeight="1">
      <c r="C620" s="102"/>
      <c r="I620" s="71"/>
    </row>
    <row r="621" ht="15.75" customHeight="1">
      <c r="C621" s="102"/>
      <c r="I621" s="71"/>
    </row>
    <row r="622" ht="15.75" customHeight="1">
      <c r="C622" s="102"/>
      <c r="I622" s="71"/>
    </row>
    <row r="623" ht="15.75" customHeight="1">
      <c r="C623" s="102"/>
      <c r="I623" s="71"/>
    </row>
    <row r="624" ht="15.75" customHeight="1">
      <c r="C624" s="102"/>
      <c r="I624" s="71"/>
    </row>
    <row r="625" ht="15.75" customHeight="1">
      <c r="C625" s="102"/>
      <c r="I625" s="71"/>
    </row>
    <row r="626" ht="15.75" customHeight="1">
      <c r="C626" s="102"/>
      <c r="I626" s="71"/>
    </row>
    <row r="627" ht="15.75" customHeight="1">
      <c r="C627" s="102"/>
      <c r="I627" s="71"/>
    </row>
    <row r="628" ht="15.75" customHeight="1">
      <c r="C628" s="102"/>
      <c r="I628" s="71"/>
    </row>
    <row r="629" ht="15.75" customHeight="1">
      <c r="C629" s="102"/>
      <c r="I629" s="71"/>
    </row>
    <row r="630" ht="15.75" customHeight="1">
      <c r="C630" s="102"/>
      <c r="I630" s="71"/>
    </row>
    <row r="631" ht="15.75" customHeight="1">
      <c r="C631" s="102"/>
      <c r="I631" s="71"/>
    </row>
    <row r="632" ht="15.75" customHeight="1">
      <c r="C632" s="102"/>
      <c r="I632" s="71"/>
    </row>
    <row r="633" ht="15.75" customHeight="1">
      <c r="C633" s="102"/>
      <c r="I633" s="71"/>
    </row>
    <row r="634" ht="15.75" customHeight="1">
      <c r="C634" s="102"/>
      <c r="I634" s="71"/>
    </row>
    <row r="635" ht="15.75" customHeight="1">
      <c r="C635" s="102"/>
      <c r="I635" s="71"/>
    </row>
    <row r="636" ht="15.75" customHeight="1">
      <c r="C636" s="102"/>
      <c r="I636" s="71"/>
    </row>
    <row r="637" ht="15.75" customHeight="1">
      <c r="C637" s="102"/>
      <c r="I637" s="71"/>
    </row>
    <row r="638" ht="15.75" customHeight="1">
      <c r="C638" s="102"/>
      <c r="I638" s="71"/>
    </row>
    <row r="639" ht="15.75" customHeight="1">
      <c r="C639" s="102"/>
      <c r="I639" s="71"/>
    </row>
    <row r="640" ht="15.75" customHeight="1">
      <c r="C640" s="102"/>
      <c r="I640" s="71"/>
    </row>
    <row r="641" ht="15.75" customHeight="1">
      <c r="C641" s="102"/>
      <c r="I641" s="71"/>
    </row>
    <row r="642" ht="15.75" customHeight="1">
      <c r="C642" s="102"/>
      <c r="I642" s="71"/>
    </row>
    <row r="643" ht="15.75" customHeight="1">
      <c r="C643" s="102"/>
      <c r="I643" s="71"/>
    </row>
    <row r="644" ht="15.75" customHeight="1">
      <c r="C644" s="102"/>
      <c r="I644" s="71"/>
    </row>
    <row r="645" ht="15.75" customHeight="1">
      <c r="C645" s="102"/>
      <c r="I645" s="71"/>
    </row>
    <row r="646" ht="15.75" customHeight="1">
      <c r="C646" s="102"/>
      <c r="I646" s="71"/>
    </row>
    <row r="647" ht="15.75" customHeight="1">
      <c r="C647" s="102"/>
      <c r="I647" s="71"/>
    </row>
    <row r="648" ht="15.75" customHeight="1">
      <c r="C648" s="102"/>
      <c r="I648" s="71"/>
    </row>
    <row r="649" ht="15.75" customHeight="1">
      <c r="C649" s="102"/>
      <c r="I649" s="71"/>
    </row>
    <row r="650" ht="15.75" customHeight="1">
      <c r="C650" s="102"/>
      <c r="I650" s="71"/>
    </row>
    <row r="651" ht="15.75" customHeight="1">
      <c r="C651" s="102"/>
      <c r="I651" s="71"/>
    </row>
    <row r="652" ht="15.75" customHeight="1">
      <c r="C652" s="102"/>
      <c r="I652" s="71"/>
    </row>
    <row r="653" ht="15.75" customHeight="1">
      <c r="C653" s="102"/>
      <c r="I653" s="71"/>
    </row>
    <row r="654" ht="15.75" customHeight="1">
      <c r="C654" s="102"/>
      <c r="I654" s="71"/>
    </row>
    <row r="655" ht="15.75" customHeight="1">
      <c r="C655" s="102"/>
      <c r="I655" s="71"/>
    </row>
    <row r="656" ht="15.75" customHeight="1">
      <c r="C656" s="102"/>
      <c r="I656" s="71"/>
    </row>
    <row r="657" ht="15.75" customHeight="1">
      <c r="C657" s="102"/>
      <c r="I657" s="71"/>
    </row>
    <row r="658" ht="15.75" customHeight="1">
      <c r="C658" s="102"/>
      <c r="I658" s="71"/>
    </row>
    <row r="659" ht="15.75" customHeight="1">
      <c r="C659" s="102"/>
      <c r="I659" s="71"/>
    </row>
    <row r="660" ht="15.75" customHeight="1">
      <c r="C660" s="102"/>
      <c r="I660" s="71"/>
    </row>
    <row r="661" ht="15.75" customHeight="1">
      <c r="C661" s="102"/>
      <c r="I661" s="71"/>
    </row>
    <row r="662" ht="15.75" customHeight="1">
      <c r="C662" s="102"/>
      <c r="I662" s="71"/>
    </row>
    <row r="663" ht="15.75" customHeight="1">
      <c r="C663" s="102"/>
      <c r="I663" s="71"/>
    </row>
    <row r="664" ht="15.75" customHeight="1">
      <c r="C664" s="102"/>
      <c r="I664" s="71"/>
    </row>
    <row r="665" ht="15.75" customHeight="1">
      <c r="C665" s="102"/>
      <c r="I665" s="71"/>
    </row>
    <row r="666" ht="15.75" customHeight="1">
      <c r="C666" s="102"/>
      <c r="I666" s="71"/>
    </row>
    <row r="667" ht="15.75" customHeight="1">
      <c r="C667" s="102"/>
      <c r="I667" s="71"/>
    </row>
    <row r="668" ht="15.75" customHeight="1">
      <c r="C668" s="102"/>
      <c r="I668" s="71"/>
    </row>
    <row r="669" ht="15.75" customHeight="1">
      <c r="C669" s="102"/>
      <c r="I669" s="71"/>
    </row>
    <row r="670" ht="15.75" customHeight="1">
      <c r="C670" s="102"/>
      <c r="I670" s="71"/>
    </row>
    <row r="671" ht="15.75" customHeight="1">
      <c r="C671" s="102"/>
      <c r="I671" s="71"/>
    </row>
    <row r="672" ht="15.75" customHeight="1">
      <c r="C672" s="102"/>
      <c r="I672" s="71"/>
    </row>
    <row r="673" ht="15.75" customHeight="1">
      <c r="C673" s="102"/>
      <c r="I673" s="71"/>
    </row>
    <row r="674" ht="15.75" customHeight="1">
      <c r="C674" s="102"/>
      <c r="I674" s="71"/>
    </row>
    <row r="675" ht="15.75" customHeight="1">
      <c r="C675" s="102"/>
      <c r="I675" s="71"/>
    </row>
    <row r="676" ht="15.75" customHeight="1">
      <c r="C676" s="102"/>
      <c r="I676" s="71"/>
    </row>
    <row r="677" ht="15.75" customHeight="1">
      <c r="C677" s="102"/>
      <c r="I677" s="71"/>
    </row>
    <row r="678" ht="15.75" customHeight="1">
      <c r="C678" s="102"/>
      <c r="I678" s="71"/>
    </row>
    <row r="679" ht="15.75" customHeight="1">
      <c r="C679" s="102"/>
      <c r="I679" s="71"/>
    </row>
    <row r="680" ht="15.75" customHeight="1">
      <c r="C680" s="102"/>
      <c r="I680" s="71"/>
    </row>
    <row r="681" ht="15.75" customHeight="1">
      <c r="C681" s="102"/>
      <c r="I681" s="71"/>
    </row>
    <row r="682" ht="15.75" customHeight="1">
      <c r="C682" s="102"/>
      <c r="I682" s="71"/>
    </row>
    <row r="683" ht="15.75" customHeight="1">
      <c r="C683" s="102"/>
      <c r="I683" s="71"/>
    </row>
    <row r="684" ht="15.75" customHeight="1">
      <c r="C684" s="102"/>
      <c r="I684" s="71"/>
    </row>
    <row r="685" ht="15.75" customHeight="1">
      <c r="C685" s="102"/>
      <c r="I685" s="71"/>
    </row>
    <row r="686" ht="15.75" customHeight="1">
      <c r="C686" s="102"/>
      <c r="I686" s="71"/>
    </row>
    <row r="687" ht="15.75" customHeight="1">
      <c r="C687" s="102"/>
      <c r="I687" s="71"/>
    </row>
    <row r="688" ht="15.75" customHeight="1">
      <c r="C688" s="102"/>
      <c r="I688" s="71"/>
    </row>
    <row r="689" ht="15.75" customHeight="1">
      <c r="C689" s="102"/>
      <c r="I689" s="71"/>
    </row>
    <row r="690" ht="15.75" customHeight="1">
      <c r="C690" s="102"/>
      <c r="I690" s="71"/>
    </row>
    <row r="691" ht="15.75" customHeight="1">
      <c r="C691" s="102"/>
      <c r="I691" s="71"/>
    </row>
    <row r="692" ht="15.75" customHeight="1">
      <c r="C692" s="102"/>
      <c r="I692" s="71"/>
    </row>
    <row r="693" ht="15.75" customHeight="1">
      <c r="C693" s="102"/>
      <c r="I693" s="71"/>
    </row>
    <row r="694" ht="15.75" customHeight="1">
      <c r="C694" s="102"/>
      <c r="I694" s="71"/>
    </row>
    <row r="695" ht="15.75" customHeight="1">
      <c r="C695" s="102"/>
      <c r="I695" s="71"/>
    </row>
    <row r="696" ht="15.75" customHeight="1">
      <c r="C696" s="102"/>
      <c r="I696" s="71"/>
    </row>
    <row r="697" ht="15.75" customHeight="1">
      <c r="C697" s="102"/>
      <c r="I697" s="71"/>
    </row>
    <row r="698" ht="15.75" customHeight="1">
      <c r="C698" s="102"/>
      <c r="I698" s="71"/>
    </row>
    <row r="699" ht="15.75" customHeight="1">
      <c r="C699" s="102"/>
      <c r="I699" s="71"/>
    </row>
    <row r="700" ht="15.75" customHeight="1">
      <c r="C700" s="102"/>
      <c r="I700" s="71"/>
    </row>
    <row r="701" ht="15.75" customHeight="1">
      <c r="C701" s="102"/>
      <c r="I701" s="71"/>
    </row>
    <row r="702" ht="15.75" customHeight="1">
      <c r="C702" s="102"/>
      <c r="I702" s="71"/>
    </row>
    <row r="703" ht="15.75" customHeight="1">
      <c r="C703" s="102"/>
      <c r="I703" s="71"/>
    </row>
    <row r="704" ht="15.75" customHeight="1">
      <c r="C704" s="102"/>
      <c r="I704" s="71"/>
    </row>
    <row r="705" ht="15.75" customHeight="1">
      <c r="C705" s="102"/>
      <c r="I705" s="71"/>
    </row>
    <row r="706" ht="15.75" customHeight="1">
      <c r="C706" s="102"/>
      <c r="I706" s="71"/>
    </row>
    <row r="707" ht="15.75" customHeight="1">
      <c r="C707" s="102"/>
      <c r="I707" s="71"/>
    </row>
    <row r="708" ht="15.75" customHeight="1">
      <c r="C708" s="102"/>
      <c r="I708" s="71"/>
    </row>
    <row r="709" ht="15.75" customHeight="1">
      <c r="C709" s="102"/>
      <c r="I709" s="71"/>
    </row>
    <row r="710" ht="15.75" customHeight="1">
      <c r="C710" s="102"/>
      <c r="I710" s="71"/>
    </row>
    <row r="711" ht="15.75" customHeight="1">
      <c r="C711" s="102"/>
      <c r="I711" s="71"/>
    </row>
    <row r="712" ht="15.75" customHeight="1">
      <c r="C712" s="102"/>
      <c r="I712" s="71"/>
    </row>
    <row r="713" ht="15.75" customHeight="1">
      <c r="C713" s="102"/>
      <c r="I713" s="71"/>
    </row>
    <row r="714" ht="15.75" customHeight="1">
      <c r="C714" s="102"/>
      <c r="I714" s="71"/>
    </row>
    <row r="715" ht="15.75" customHeight="1">
      <c r="C715" s="102"/>
      <c r="I715" s="71"/>
    </row>
    <row r="716" ht="15.75" customHeight="1">
      <c r="C716" s="102"/>
      <c r="I716" s="71"/>
    </row>
    <row r="717" ht="15.75" customHeight="1">
      <c r="C717" s="102"/>
      <c r="I717" s="71"/>
    </row>
    <row r="718" ht="15.75" customHeight="1">
      <c r="C718" s="102"/>
      <c r="I718" s="71"/>
    </row>
    <row r="719" ht="15.75" customHeight="1">
      <c r="C719" s="102"/>
      <c r="I719" s="71"/>
    </row>
    <row r="720" ht="15.75" customHeight="1">
      <c r="C720" s="102"/>
      <c r="I720" s="71"/>
    </row>
    <row r="721" ht="15.75" customHeight="1">
      <c r="C721" s="102"/>
      <c r="I721" s="71"/>
    </row>
    <row r="722" ht="15.75" customHeight="1">
      <c r="C722" s="102"/>
      <c r="I722" s="71"/>
    </row>
    <row r="723" ht="15.75" customHeight="1">
      <c r="C723" s="102"/>
      <c r="I723" s="71"/>
    </row>
    <row r="724" ht="15.75" customHeight="1">
      <c r="C724" s="102"/>
      <c r="I724" s="71"/>
    </row>
    <row r="725" ht="15.75" customHeight="1">
      <c r="C725" s="102"/>
      <c r="I725" s="71"/>
    </row>
    <row r="726" ht="15.75" customHeight="1">
      <c r="C726" s="102"/>
      <c r="I726" s="71"/>
    </row>
    <row r="727" ht="15.75" customHeight="1">
      <c r="C727" s="102"/>
      <c r="I727" s="71"/>
    </row>
    <row r="728" ht="15.75" customHeight="1">
      <c r="C728" s="102"/>
      <c r="I728" s="71"/>
    </row>
    <row r="729" ht="15.75" customHeight="1">
      <c r="C729" s="102"/>
      <c r="I729" s="71"/>
    </row>
    <row r="730" ht="15.75" customHeight="1">
      <c r="C730" s="102"/>
      <c r="I730" s="71"/>
    </row>
    <row r="731" ht="15.75" customHeight="1">
      <c r="C731" s="102"/>
      <c r="I731" s="71"/>
    </row>
    <row r="732" ht="15.75" customHeight="1">
      <c r="C732" s="102"/>
      <c r="I732" s="71"/>
    </row>
    <row r="733" ht="15.75" customHeight="1">
      <c r="C733" s="102"/>
      <c r="I733" s="71"/>
    </row>
    <row r="734" ht="15.75" customHeight="1">
      <c r="C734" s="102"/>
      <c r="I734" s="71"/>
    </row>
    <row r="735" ht="15.75" customHeight="1">
      <c r="C735" s="102"/>
      <c r="I735" s="71"/>
    </row>
    <row r="736" ht="15.75" customHeight="1">
      <c r="C736" s="102"/>
      <c r="I736" s="71"/>
    </row>
    <row r="737" ht="15.75" customHeight="1">
      <c r="C737" s="102"/>
      <c r="I737" s="71"/>
    </row>
    <row r="738" ht="15.75" customHeight="1">
      <c r="C738" s="102"/>
      <c r="I738" s="71"/>
    </row>
    <row r="739" ht="15.75" customHeight="1">
      <c r="C739" s="102"/>
      <c r="I739" s="71"/>
    </row>
    <row r="740" ht="15.75" customHeight="1">
      <c r="C740" s="102"/>
      <c r="I740" s="71"/>
    </row>
    <row r="741" ht="15.75" customHeight="1">
      <c r="C741" s="102"/>
      <c r="I741" s="71"/>
    </row>
    <row r="742" ht="15.75" customHeight="1">
      <c r="C742" s="102"/>
      <c r="I742" s="71"/>
    </row>
    <row r="743" ht="15.75" customHeight="1">
      <c r="C743" s="102"/>
      <c r="I743" s="71"/>
    </row>
    <row r="744" ht="15.75" customHeight="1">
      <c r="C744" s="102"/>
      <c r="I744" s="71"/>
    </row>
    <row r="745" ht="15.75" customHeight="1">
      <c r="C745" s="102"/>
      <c r="I745" s="71"/>
    </row>
    <row r="746" ht="15.75" customHeight="1">
      <c r="C746" s="102"/>
      <c r="I746" s="71"/>
    </row>
    <row r="747" ht="15.75" customHeight="1">
      <c r="C747" s="102"/>
      <c r="I747" s="71"/>
    </row>
    <row r="748" ht="15.75" customHeight="1">
      <c r="C748" s="102"/>
      <c r="I748" s="71"/>
    </row>
    <row r="749" ht="15.75" customHeight="1">
      <c r="C749" s="102"/>
      <c r="I749" s="71"/>
    </row>
    <row r="750" ht="15.75" customHeight="1">
      <c r="C750" s="102"/>
      <c r="I750" s="71"/>
    </row>
    <row r="751" ht="15.75" customHeight="1">
      <c r="C751" s="102"/>
      <c r="I751" s="71"/>
    </row>
    <row r="752" ht="15.75" customHeight="1">
      <c r="C752" s="102"/>
      <c r="I752" s="71"/>
    </row>
    <row r="753" ht="15.75" customHeight="1">
      <c r="C753" s="102"/>
      <c r="I753" s="71"/>
    </row>
    <row r="754" ht="15.75" customHeight="1">
      <c r="C754" s="102"/>
      <c r="I754" s="71"/>
    </row>
    <row r="755" ht="15.75" customHeight="1">
      <c r="C755" s="102"/>
      <c r="I755" s="71"/>
    </row>
    <row r="756" ht="15.75" customHeight="1">
      <c r="C756" s="102"/>
      <c r="I756" s="71"/>
    </row>
    <row r="757" ht="15.75" customHeight="1">
      <c r="C757" s="102"/>
      <c r="I757" s="71"/>
    </row>
    <row r="758" ht="15.75" customHeight="1">
      <c r="C758" s="102"/>
      <c r="I758" s="71"/>
    </row>
    <row r="759" ht="15.75" customHeight="1">
      <c r="C759" s="102"/>
      <c r="I759" s="71"/>
    </row>
    <row r="760" ht="15.75" customHeight="1">
      <c r="C760" s="102"/>
      <c r="I760" s="71"/>
    </row>
    <row r="761" ht="15.75" customHeight="1">
      <c r="C761" s="102"/>
      <c r="I761" s="71"/>
    </row>
    <row r="762" ht="15.75" customHeight="1">
      <c r="C762" s="102"/>
      <c r="I762" s="71"/>
    </row>
    <row r="763" ht="15.75" customHeight="1">
      <c r="C763" s="102"/>
      <c r="I763" s="71"/>
    </row>
    <row r="764" ht="15.75" customHeight="1">
      <c r="C764" s="102"/>
      <c r="I764" s="71"/>
    </row>
    <row r="765" ht="15.75" customHeight="1">
      <c r="C765" s="102"/>
      <c r="I765" s="71"/>
    </row>
    <row r="766" ht="15.75" customHeight="1">
      <c r="C766" s="102"/>
      <c r="I766" s="71"/>
    </row>
    <row r="767" ht="15.75" customHeight="1">
      <c r="C767" s="102"/>
      <c r="I767" s="71"/>
    </row>
    <row r="768" ht="15.75" customHeight="1">
      <c r="C768" s="102"/>
      <c r="I768" s="71"/>
    </row>
    <row r="769" ht="15.75" customHeight="1">
      <c r="C769" s="102"/>
      <c r="I769" s="71"/>
    </row>
    <row r="770" ht="15.75" customHeight="1">
      <c r="C770" s="102"/>
      <c r="I770" s="71"/>
    </row>
    <row r="771" ht="15.75" customHeight="1">
      <c r="C771" s="102"/>
      <c r="I771" s="71"/>
    </row>
    <row r="772" ht="15.75" customHeight="1">
      <c r="C772" s="102"/>
      <c r="I772" s="71"/>
    </row>
    <row r="773" ht="15.75" customHeight="1">
      <c r="C773" s="102"/>
      <c r="I773" s="71"/>
    </row>
    <row r="774" ht="15.75" customHeight="1">
      <c r="C774" s="102"/>
      <c r="I774" s="71"/>
    </row>
    <row r="775" ht="15.75" customHeight="1">
      <c r="C775" s="102"/>
      <c r="I775" s="71"/>
    </row>
    <row r="776" ht="15.75" customHeight="1">
      <c r="C776" s="102"/>
      <c r="I776" s="71"/>
    </row>
    <row r="777" ht="15.75" customHeight="1">
      <c r="C777" s="102"/>
      <c r="I777" s="71"/>
    </row>
    <row r="778" ht="15.75" customHeight="1">
      <c r="C778" s="102"/>
      <c r="I778" s="71"/>
    </row>
    <row r="779" ht="15.75" customHeight="1">
      <c r="C779" s="102"/>
      <c r="I779" s="71"/>
    </row>
    <row r="780" ht="15.75" customHeight="1">
      <c r="C780" s="102"/>
      <c r="I780" s="71"/>
    </row>
    <row r="781" ht="15.75" customHeight="1">
      <c r="C781" s="102"/>
      <c r="I781" s="71"/>
    </row>
    <row r="782" ht="15.75" customHeight="1">
      <c r="C782" s="102"/>
      <c r="I782" s="71"/>
    </row>
    <row r="783" ht="15.75" customHeight="1">
      <c r="C783" s="102"/>
      <c r="I783" s="71"/>
    </row>
    <row r="784" ht="15.75" customHeight="1">
      <c r="C784" s="102"/>
      <c r="I784" s="71"/>
    </row>
    <row r="785" ht="15.75" customHeight="1">
      <c r="C785" s="102"/>
      <c r="I785" s="71"/>
    </row>
    <row r="786" ht="15.75" customHeight="1">
      <c r="C786" s="102"/>
      <c r="I786" s="71"/>
    </row>
    <row r="787" ht="15.75" customHeight="1">
      <c r="C787" s="102"/>
      <c r="I787" s="71"/>
    </row>
    <row r="788" ht="15.75" customHeight="1">
      <c r="C788" s="102"/>
      <c r="I788" s="71"/>
    </row>
    <row r="789" ht="15.75" customHeight="1">
      <c r="C789" s="102"/>
      <c r="I789" s="71"/>
    </row>
    <row r="790" ht="15.75" customHeight="1">
      <c r="C790" s="102"/>
      <c r="I790" s="71"/>
    </row>
    <row r="791" ht="15.75" customHeight="1">
      <c r="C791" s="102"/>
      <c r="I791" s="71"/>
    </row>
    <row r="792" ht="15.75" customHeight="1">
      <c r="C792" s="102"/>
      <c r="I792" s="71"/>
    </row>
    <row r="793" ht="15.75" customHeight="1">
      <c r="C793" s="102"/>
      <c r="I793" s="71"/>
    </row>
    <row r="794" ht="15.75" customHeight="1">
      <c r="C794" s="102"/>
      <c r="I794" s="71"/>
    </row>
    <row r="795" ht="15.75" customHeight="1">
      <c r="C795" s="102"/>
      <c r="I795" s="71"/>
    </row>
    <row r="796" ht="15.75" customHeight="1">
      <c r="C796" s="102"/>
      <c r="I796" s="71"/>
    </row>
    <row r="797" ht="15.75" customHeight="1">
      <c r="C797" s="102"/>
      <c r="I797" s="71"/>
    </row>
    <row r="798" ht="15.75" customHeight="1">
      <c r="C798" s="102"/>
      <c r="I798" s="71"/>
    </row>
    <row r="799" ht="15.75" customHeight="1">
      <c r="C799" s="102"/>
      <c r="I799" s="71"/>
    </row>
    <row r="800" ht="15.75" customHeight="1">
      <c r="C800" s="102"/>
      <c r="I800" s="71"/>
    </row>
    <row r="801" ht="15.75" customHeight="1">
      <c r="C801" s="102"/>
      <c r="I801" s="71"/>
    </row>
    <row r="802" ht="15.75" customHeight="1">
      <c r="C802" s="102"/>
      <c r="I802" s="71"/>
    </row>
    <row r="803" ht="15.75" customHeight="1">
      <c r="C803" s="102"/>
      <c r="I803" s="71"/>
    </row>
    <row r="804" ht="15.75" customHeight="1">
      <c r="C804" s="102"/>
      <c r="I804" s="71"/>
    </row>
    <row r="805" ht="15.75" customHeight="1">
      <c r="C805" s="102"/>
      <c r="I805" s="71"/>
    </row>
    <row r="806" ht="15.75" customHeight="1">
      <c r="C806" s="102"/>
      <c r="I806" s="71"/>
    </row>
    <row r="807" ht="15.75" customHeight="1">
      <c r="C807" s="102"/>
      <c r="I807" s="71"/>
    </row>
    <row r="808" ht="15.75" customHeight="1">
      <c r="C808" s="102"/>
      <c r="I808" s="71"/>
    </row>
    <row r="809" ht="15.75" customHeight="1">
      <c r="C809" s="102"/>
      <c r="I809" s="71"/>
    </row>
    <row r="810" ht="15.75" customHeight="1">
      <c r="C810" s="102"/>
      <c r="I810" s="71"/>
    </row>
    <row r="811" ht="15.75" customHeight="1">
      <c r="C811" s="102"/>
      <c r="I811" s="71"/>
    </row>
    <row r="812" ht="15.75" customHeight="1">
      <c r="C812" s="102"/>
      <c r="I812" s="71"/>
    </row>
    <row r="813" ht="15.75" customHeight="1">
      <c r="C813" s="102"/>
      <c r="I813" s="71"/>
    </row>
    <row r="814" ht="15.75" customHeight="1">
      <c r="C814" s="102"/>
      <c r="I814" s="71"/>
    </row>
    <row r="815" ht="15.75" customHeight="1">
      <c r="C815" s="102"/>
      <c r="I815" s="71"/>
    </row>
    <row r="816" ht="15.75" customHeight="1">
      <c r="C816" s="102"/>
      <c r="I816" s="71"/>
    </row>
    <row r="817" ht="15.75" customHeight="1">
      <c r="C817" s="102"/>
      <c r="I817" s="71"/>
    </row>
    <row r="818" ht="15.75" customHeight="1">
      <c r="C818" s="102"/>
      <c r="I818" s="71"/>
    </row>
    <row r="819" ht="15.75" customHeight="1">
      <c r="C819" s="102"/>
      <c r="I819" s="71"/>
    </row>
    <row r="820" ht="15.75" customHeight="1">
      <c r="C820" s="102"/>
      <c r="I820" s="71"/>
    </row>
    <row r="821" ht="15.75" customHeight="1">
      <c r="C821" s="102"/>
      <c r="I821" s="71"/>
    </row>
    <row r="822" ht="15.75" customHeight="1">
      <c r="C822" s="102"/>
      <c r="I822" s="71"/>
    </row>
    <row r="823" ht="15.75" customHeight="1">
      <c r="C823" s="102"/>
      <c r="I823" s="71"/>
    </row>
    <row r="824" ht="15.75" customHeight="1">
      <c r="C824" s="102"/>
      <c r="I824" s="71"/>
    </row>
    <row r="825" ht="15.75" customHeight="1">
      <c r="C825" s="102"/>
      <c r="I825" s="71"/>
    </row>
    <row r="826" ht="15.75" customHeight="1">
      <c r="C826" s="102"/>
      <c r="I826" s="71"/>
    </row>
    <row r="827" ht="15.75" customHeight="1">
      <c r="C827" s="102"/>
      <c r="I827" s="71"/>
    </row>
    <row r="828" ht="15.75" customHeight="1">
      <c r="C828" s="102"/>
      <c r="I828" s="71"/>
    </row>
    <row r="829" ht="15.75" customHeight="1">
      <c r="C829" s="102"/>
      <c r="I829" s="71"/>
    </row>
    <row r="830" ht="15.75" customHeight="1">
      <c r="C830" s="102"/>
      <c r="I830" s="71"/>
    </row>
    <row r="831" ht="15.75" customHeight="1">
      <c r="C831" s="102"/>
      <c r="I831" s="71"/>
    </row>
    <row r="832" ht="15.75" customHeight="1">
      <c r="C832" s="102"/>
      <c r="I832" s="71"/>
    </row>
    <row r="833" ht="15.75" customHeight="1">
      <c r="C833" s="102"/>
      <c r="I833" s="71"/>
    </row>
    <row r="834" ht="15.75" customHeight="1">
      <c r="C834" s="102"/>
      <c r="I834" s="71"/>
    </row>
    <row r="835" ht="15.75" customHeight="1">
      <c r="C835" s="102"/>
      <c r="I835" s="71"/>
    </row>
    <row r="836" ht="15.75" customHeight="1">
      <c r="C836" s="102"/>
      <c r="I836" s="71"/>
    </row>
    <row r="837" ht="15.75" customHeight="1">
      <c r="C837" s="102"/>
      <c r="I837" s="71"/>
    </row>
    <row r="838" ht="15.75" customHeight="1">
      <c r="C838" s="102"/>
      <c r="I838" s="71"/>
    </row>
    <row r="839" ht="15.75" customHeight="1">
      <c r="C839" s="102"/>
      <c r="I839" s="71"/>
    </row>
    <row r="840" ht="15.75" customHeight="1">
      <c r="C840" s="102"/>
      <c r="I840" s="71"/>
    </row>
    <row r="841" ht="15.75" customHeight="1">
      <c r="C841" s="102"/>
      <c r="I841" s="71"/>
    </row>
    <row r="842" ht="15.75" customHeight="1">
      <c r="C842" s="102"/>
      <c r="I842" s="71"/>
    </row>
    <row r="843" ht="15.75" customHeight="1">
      <c r="C843" s="102"/>
      <c r="I843" s="71"/>
    </row>
    <row r="844" ht="15.75" customHeight="1">
      <c r="C844" s="102"/>
      <c r="I844" s="71"/>
    </row>
    <row r="845" ht="15.75" customHeight="1">
      <c r="C845" s="102"/>
      <c r="I845" s="71"/>
    </row>
    <row r="846" ht="15.75" customHeight="1">
      <c r="C846" s="102"/>
      <c r="I846" s="71"/>
    </row>
    <row r="847" ht="15.75" customHeight="1">
      <c r="C847" s="102"/>
      <c r="I847" s="71"/>
    </row>
    <row r="848" ht="15.75" customHeight="1">
      <c r="C848" s="102"/>
      <c r="I848" s="71"/>
    </row>
    <row r="849" ht="15.75" customHeight="1">
      <c r="C849" s="102"/>
      <c r="I849" s="71"/>
    </row>
    <row r="850" ht="15.75" customHeight="1">
      <c r="C850" s="102"/>
      <c r="I850" s="71"/>
    </row>
    <row r="851" ht="15.75" customHeight="1">
      <c r="C851" s="102"/>
      <c r="I851" s="71"/>
    </row>
    <row r="852" ht="15.75" customHeight="1">
      <c r="C852" s="102"/>
      <c r="I852" s="71"/>
    </row>
    <row r="853" ht="15.75" customHeight="1">
      <c r="C853" s="102"/>
      <c r="I853" s="71"/>
    </row>
    <row r="854" ht="15.75" customHeight="1">
      <c r="C854" s="102"/>
      <c r="I854" s="71"/>
    </row>
    <row r="855" ht="15.75" customHeight="1">
      <c r="C855" s="102"/>
      <c r="I855" s="71"/>
    </row>
    <row r="856" ht="15.75" customHeight="1">
      <c r="C856" s="102"/>
      <c r="I856" s="71"/>
    </row>
    <row r="857" ht="15.75" customHeight="1">
      <c r="C857" s="102"/>
      <c r="I857" s="71"/>
    </row>
    <row r="858" ht="15.75" customHeight="1">
      <c r="C858" s="102"/>
      <c r="I858" s="71"/>
    </row>
    <row r="859" ht="15.75" customHeight="1">
      <c r="C859" s="102"/>
      <c r="I859" s="71"/>
    </row>
    <row r="860" ht="15.75" customHeight="1">
      <c r="C860" s="102"/>
      <c r="I860" s="71"/>
    </row>
    <row r="861" ht="15.75" customHeight="1">
      <c r="C861" s="102"/>
      <c r="I861" s="71"/>
    </row>
    <row r="862" ht="15.75" customHeight="1">
      <c r="C862" s="102"/>
      <c r="I862" s="71"/>
    </row>
    <row r="863" ht="15.75" customHeight="1">
      <c r="C863" s="102"/>
      <c r="I863" s="71"/>
    </row>
    <row r="864" ht="15.75" customHeight="1">
      <c r="C864" s="102"/>
      <c r="I864" s="71"/>
    </row>
    <row r="865" ht="15.75" customHeight="1">
      <c r="C865" s="102"/>
      <c r="I865" s="71"/>
    </row>
    <row r="866" ht="15.75" customHeight="1">
      <c r="C866" s="102"/>
      <c r="I866" s="71"/>
    </row>
    <row r="867" ht="15.75" customHeight="1">
      <c r="C867" s="102"/>
      <c r="I867" s="71"/>
    </row>
    <row r="868" ht="15.75" customHeight="1">
      <c r="C868" s="102"/>
      <c r="I868" s="71"/>
    </row>
    <row r="869" ht="15.75" customHeight="1">
      <c r="C869" s="102"/>
      <c r="I869" s="71"/>
    </row>
    <row r="870" ht="15.75" customHeight="1">
      <c r="C870" s="102"/>
      <c r="I870" s="71"/>
    </row>
    <row r="871" ht="15.75" customHeight="1">
      <c r="C871" s="102"/>
      <c r="I871" s="71"/>
    </row>
    <row r="872" ht="15.75" customHeight="1">
      <c r="C872" s="102"/>
      <c r="I872" s="71"/>
    </row>
    <row r="873" ht="15.75" customHeight="1">
      <c r="C873" s="102"/>
      <c r="I873" s="71"/>
    </row>
    <row r="874" ht="15.75" customHeight="1">
      <c r="C874" s="102"/>
      <c r="I874" s="71"/>
    </row>
    <row r="875" ht="15.75" customHeight="1">
      <c r="C875" s="102"/>
      <c r="I875" s="71"/>
    </row>
    <row r="876" ht="15.75" customHeight="1">
      <c r="C876" s="102"/>
      <c r="I876" s="71"/>
    </row>
    <row r="877" ht="15.75" customHeight="1">
      <c r="C877" s="102"/>
      <c r="I877" s="71"/>
    </row>
    <row r="878" ht="15.75" customHeight="1">
      <c r="C878" s="102"/>
      <c r="I878" s="71"/>
    </row>
    <row r="879" ht="15.75" customHeight="1">
      <c r="C879" s="102"/>
      <c r="I879" s="71"/>
    </row>
    <row r="880" ht="15.75" customHeight="1">
      <c r="C880" s="102"/>
      <c r="I880" s="71"/>
    </row>
    <row r="881" ht="15.75" customHeight="1">
      <c r="C881" s="102"/>
      <c r="I881" s="71"/>
    </row>
    <row r="882" ht="15.75" customHeight="1">
      <c r="C882" s="102"/>
      <c r="I882" s="71"/>
    </row>
    <row r="883" ht="15.75" customHeight="1">
      <c r="C883" s="102"/>
      <c r="I883" s="71"/>
    </row>
    <row r="884" ht="15.75" customHeight="1">
      <c r="C884" s="102"/>
      <c r="I884" s="71"/>
    </row>
    <row r="885" ht="15.75" customHeight="1">
      <c r="C885" s="102"/>
      <c r="I885" s="71"/>
    </row>
    <row r="886" ht="15.75" customHeight="1">
      <c r="C886" s="102"/>
      <c r="I886" s="71"/>
    </row>
    <row r="887" ht="15.75" customHeight="1">
      <c r="C887" s="102"/>
      <c r="I887" s="71"/>
    </row>
    <row r="888" ht="15.75" customHeight="1">
      <c r="C888" s="102"/>
      <c r="I888" s="71"/>
    </row>
    <row r="889" ht="15.75" customHeight="1">
      <c r="C889" s="102"/>
      <c r="I889" s="71"/>
    </row>
    <row r="890" ht="15.75" customHeight="1">
      <c r="C890" s="102"/>
      <c r="I890" s="71"/>
    </row>
    <row r="891" ht="15.75" customHeight="1">
      <c r="C891" s="102"/>
      <c r="I891" s="71"/>
    </row>
    <row r="892" ht="15.75" customHeight="1">
      <c r="C892" s="102"/>
      <c r="I892" s="71"/>
    </row>
    <row r="893" ht="15.75" customHeight="1">
      <c r="C893" s="102"/>
      <c r="I893" s="71"/>
    </row>
    <row r="894" ht="15.75" customHeight="1">
      <c r="C894" s="102"/>
      <c r="I894" s="71"/>
    </row>
    <row r="895" ht="15.75" customHeight="1">
      <c r="C895" s="102"/>
      <c r="I895" s="71"/>
    </row>
    <row r="896" ht="15.75" customHeight="1">
      <c r="C896" s="102"/>
      <c r="I896" s="71"/>
    </row>
    <row r="897" ht="15.75" customHeight="1">
      <c r="C897" s="102"/>
      <c r="I897" s="71"/>
    </row>
    <row r="898" ht="15.75" customHeight="1">
      <c r="C898" s="102"/>
      <c r="I898" s="71"/>
    </row>
    <row r="899" ht="15.75" customHeight="1">
      <c r="C899" s="102"/>
      <c r="I899" s="71"/>
    </row>
    <row r="900" ht="15.75" customHeight="1">
      <c r="C900" s="102"/>
      <c r="I900" s="71"/>
    </row>
    <row r="901" ht="15.75" customHeight="1">
      <c r="C901" s="102"/>
      <c r="I901" s="71"/>
    </row>
    <row r="902" ht="15.75" customHeight="1">
      <c r="C902" s="102"/>
      <c r="I902" s="71"/>
    </row>
    <row r="903" ht="15.75" customHeight="1">
      <c r="C903" s="102"/>
      <c r="I903" s="71"/>
    </row>
    <row r="904" ht="15.75" customHeight="1">
      <c r="C904" s="102"/>
      <c r="I904" s="71"/>
    </row>
    <row r="905" ht="15.75" customHeight="1">
      <c r="C905" s="102"/>
      <c r="I905" s="71"/>
    </row>
    <row r="906" ht="15.75" customHeight="1">
      <c r="C906" s="102"/>
      <c r="I906" s="71"/>
    </row>
    <row r="907" ht="15.75" customHeight="1">
      <c r="C907" s="102"/>
      <c r="I907" s="71"/>
    </row>
    <row r="908" ht="15.75" customHeight="1">
      <c r="C908" s="102"/>
      <c r="I908" s="71"/>
    </row>
    <row r="909" ht="15.75" customHeight="1">
      <c r="C909" s="102"/>
      <c r="I909" s="71"/>
    </row>
    <row r="910" ht="15.75" customHeight="1">
      <c r="C910" s="102"/>
      <c r="I910" s="71"/>
    </row>
    <row r="911" ht="15.75" customHeight="1">
      <c r="C911" s="102"/>
      <c r="I911" s="71"/>
    </row>
    <row r="912" ht="15.75" customHeight="1">
      <c r="C912" s="102"/>
      <c r="I912" s="71"/>
    </row>
    <row r="913" ht="15.75" customHeight="1">
      <c r="C913" s="102"/>
      <c r="I913" s="71"/>
    </row>
    <row r="914" ht="15.75" customHeight="1">
      <c r="C914" s="102"/>
      <c r="I914" s="71"/>
    </row>
    <row r="915" ht="15.75" customHeight="1">
      <c r="C915" s="102"/>
      <c r="I915" s="71"/>
    </row>
    <row r="916" ht="15.75" customHeight="1">
      <c r="C916" s="102"/>
      <c r="I916" s="71"/>
    </row>
    <row r="917" ht="15.75" customHeight="1">
      <c r="C917" s="102"/>
      <c r="I917" s="71"/>
    </row>
    <row r="918" ht="15.75" customHeight="1">
      <c r="C918" s="102"/>
      <c r="I918" s="71"/>
    </row>
    <row r="919" ht="15.75" customHeight="1">
      <c r="C919" s="102"/>
      <c r="I919" s="71"/>
    </row>
    <row r="920" ht="15.75" customHeight="1">
      <c r="C920" s="102"/>
      <c r="I920" s="71"/>
    </row>
    <row r="921" ht="15.75" customHeight="1">
      <c r="C921" s="102"/>
      <c r="I921" s="71"/>
    </row>
    <row r="922" ht="15.75" customHeight="1">
      <c r="C922" s="102"/>
      <c r="I922" s="71"/>
    </row>
    <row r="923" ht="15.75" customHeight="1">
      <c r="C923" s="102"/>
      <c r="I923" s="71"/>
    </row>
    <row r="924" ht="15.75" customHeight="1">
      <c r="C924" s="102"/>
      <c r="I924" s="71"/>
    </row>
    <row r="925" ht="15.75" customHeight="1">
      <c r="C925" s="102"/>
      <c r="I925" s="71"/>
    </row>
    <row r="926" ht="15.75" customHeight="1">
      <c r="C926" s="102"/>
      <c r="I926" s="71"/>
    </row>
    <row r="927" ht="15.75" customHeight="1">
      <c r="C927" s="102"/>
      <c r="I927" s="71"/>
    </row>
    <row r="928" ht="15.75" customHeight="1">
      <c r="C928" s="102"/>
      <c r="I928" s="71"/>
    </row>
    <row r="929" ht="15.75" customHeight="1">
      <c r="C929" s="102"/>
      <c r="I929" s="71"/>
    </row>
    <row r="930" ht="15.75" customHeight="1">
      <c r="C930" s="102"/>
      <c r="I930" s="71"/>
    </row>
    <row r="931" ht="15.75" customHeight="1">
      <c r="C931" s="102"/>
      <c r="I931" s="71"/>
    </row>
    <row r="932" ht="15.75" customHeight="1">
      <c r="C932" s="102"/>
      <c r="I932" s="71"/>
    </row>
    <row r="933" ht="15.75" customHeight="1">
      <c r="C933" s="102"/>
      <c r="I933" s="71"/>
    </row>
    <row r="934" ht="15.75" customHeight="1">
      <c r="C934" s="102"/>
      <c r="I934" s="71"/>
    </row>
    <row r="935" ht="15.75" customHeight="1">
      <c r="C935" s="102"/>
      <c r="I935" s="71"/>
    </row>
    <row r="936" ht="15.75" customHeight="1">
      <c r="C936" s="102"/>
      <c r="I936" s="71"/>
    </row>
    <row r="937" ht="15.75" customHeight="1">
      <c r="C937" s="102"/>
      <c r="I937" s="71"/>
    </row>
    <row r="938" ht="15.75" customHeight="1">
      <c r="C938" s="102"/>
      <c r="I938" s="71"/>
    </row>
    <row r="939" ht="15.75" customHeight="1">
      <c r="C939" s="102"/>
      <c r="I939" s="71"/>
    </row>
    <row r="940" ht="15.75" customHeight="1">
      <c r="C940" s="102"/>
      <c r="I940" s="71"/>
    </row>
    <row r="941" ht="15.75" customHeight="1">
      <c r="C941" s="102"/>
      <c r="I941" s="71"/>
    </row>
    <row r="942" ht="15.75" customHeight="1">
      <c r="C942" s="102"/>
      <c r="I942" s="71"/>
    </row>
    <row r="943" ht="15.75" customHeight="1">
      <c r="C943" s="102"/>
      <c r="I943" s="71"/>
    </row>
    <row r="944" ht="15.75" customHeight="1">
      <c r="C944" s="102"/>
      <c r="I944" s="71"/>
    </row>
    <row r="945" ht="15.75" customHeight="1">
      <c r="C945" s="102"/>
      <c r="I945" s="71"/>
    </row>
    <row r="946" ht="15.75" customHeight="1">
      <c r="C946" s="102"/>
      <c r="I946" s="71"/>
    </row>
    <row r="947" ht="15.75" customHeight="1">
      <c r="C947" s="102"/>
      <c r="I947" s="71"/>
    </row>
    <row r="948" ht="15.75" customHeight="1">
      <c r="C948" s="102"/>
      <c r="I948" s="71"/>
    </row>
    <row r="949" ht="15.75" customHeight="1">
      <c r="C949" s="102"/>
      <c r="I949" s="71"/>
    </row>
    <row r="950" ht="15.75" customHeight="1">
      <c r="C950" s="102"/>
      <c r="I950" s="71"/>
    </row>
    <row r="951" ht="15.75" customHeight="1">
      <c r="C951" s="102"/>
      <c r="I951" s="71"/>
    </row>
    <row r="952" ht="15.75" customHeight="1">
      <c r="C952" s="102"/>
      <c r="I952" s="71"/>
    </row>
    <row r="953" ht="15.75" customHeight="1">
      <c r="C953" s="102"/>
      <c r="I953" s="71"/>
    </row>
    <row r="954" ht="15.75" customHeight="1">
      <c r="C954" s="102"/>
      <c r="I954" s="71"/>
    </row>
    <row r="955" ht="15.75" customHeight="1">
      <c r="C955" s="102"/>
      <c r="I955" s="71"/>
    </row>
    <row r="956" ht="15.75" customHeight="1">
      <c r="C956" s="102"/>
      <c r="I956" s="71"/>
    </row>
    <row r="957" ht="15.75" customHeight="1">
      <c r="C957" s="102"/>
      <c r="I957" s="71"/>
    </row>
    <row r="958" ht="15.75" customHeight="1">
      <c r="C958" s="102"/>
      <c r="I958" s="71"/>
    </row>
    <row r="959" ht="15.75" customHeight="1">
      <c r="C959" s="102"/>
      <c r="I959" s="71"/>
    </row>
    <row r="960" ht="15.75" customHeight="1">
      <c r="C960" s="102"/>
      <c r="I960" s="71"/>
    </row>
    <row r="961" ht="15.75" customHeight="1">
      <c r="C961" s="102"/>
      <c r="I961" s="71"/>
    </row>
    <row r="962" ht="15.75" customHeight="1">
      <c r="C962" s="102"/>
      <c r="I962" s="71"/>
    </row>
    <row r="963" ht="15.75" customHeight="1">
      <c r="C963" s="102"/>
      <c r="I963" s="71"/>
    </row>
    <row r="964" ht="15.75" customHeight="1">
      <c r="C964" s="102"/>
      <c r="I964" s="71"/>
    </row>
    <row r="965" ht="15.75" customHeight="1">
      <c r="C965" s="102"/>
      <c r="I965" s="71"/>
    </row>
    <row r="966" ht="15.75" customHeight="1">
      <c r="C966" s="102"/>
      <c r="I966" s="71"/>
    </row>
    <row r="967" ht="15.75" customHeight="1">
      <c r="C967" s="102"/>
      <c r="I967" s="71"/>
    </row>
    <row r="968" ht="15.75" customHeight="1">
      <c r="C968" s="102"/>
      <c r="I968" s="71"/>
    </row>
    <row r="969" ht="15.75" customHeight="1">
      <c r="C969" s="102"/>
      <c r="I969" s="71"/>
    </row>
    <row r="970" ht="15.75" customHeight="1">
      <c r="C970" s="102"/>
      <c r="I970" s="71"/>
    </row>
    <row r="971" ht="15.75" customHeight="1">
      <c r="C971" s="102"/>
      <c r="I971" s="71"/>
    </row>
    <row r="972" ht="15.75" customHeight="1">
      <c r="C972" s="102"/>
      <c r="I972" s="71"/>
    </row>
    <row r="973" ht="15.75" customHeight="1">
      <c r="C973" s="102"/>
      <c r="I973" s="71"/>
    </row>
    <row r="974" ht="15.75" customHeight="1">
      <c r="C974" s="102"/>
      <c r="I974" s="71"/>
    </row>
    <row r="975" ht="15.75" customHeight="1">
      <c r="C975" s="102"/>
      <c r="I975" s="71"/>
    </row>
    <row r="976" ht="15.75" customHeight="1">
      <c r="C976" s="102"/>
      <c r="I976" s="71"/>
    </row>
    <row r="977" ht="15.75" customHeight="1">
      <c r="C977" s="102"/>
      <c r="I977" s="71"/>
    </row>
    <row r="978" ht="15.75" customHeight="1">
      <c r="C978" s="102"/>
      <c r="I978" s="71"/>
    </row>
    <row r="979" ht="15.75" customHeight="1">
      <c r="C979" s="102"/>
      <c r="I979" s="71"/>
    </row>
    <row r="980" ht="15.75" customHeight="1">
      <c r="C980" s="102"/>
      <c r="I980" s="71"/>
    </row>
    <row r="981" ht="15.75" customHeight="1">
      <c r="C981" s="102"/>
      <c r="I981" s="71"/>
    </row>
    <row r="982" ht="15.75" customHeight="1">
      <c r="C982" s="102"/>
      <c r="I982" s="71"/>
    </row>
    <row r="983" ht="15.75" customHeight="1">
      <c r="C983" s="102"/>
      <c r="I983" s="71"/>
    </row>
    <row r="984" ht="15.75" customHeight="1">
      <c r="C984" s="102"/>
      <c r="I984" s="71"/>
    </row>
    <row r="985" ht="15.75" customHeight="1">
      <c r="C985" s="102"/>
      <c r="I985" s="71"/>
    </row>
    <row r="986" ht="15.75" customHeight="1">
      <c r="C986" s="102"/>
      <c r="I986" s="71"/>
    </row>
    <row r="987" ht="15.75" customHeight="1">
      <c r="C987" s="102"/>
      <c r="I987" s="71"/>
    </row>
    <row r="988" ht="15.75" customHeight="1">
      <c r="C988" s="102"/>
      <c r="I988" s="71"/>
    </row>
    <row r="989" ht="15.75" customHeight="1">
      <c r="C989" s="102"/>
      <c r="I989" s="71"/>
    </row>
    <row r="990" ht="15.75" customHeight="1">
      <c r="C990" s="102"/>
      <c r="I990" s="71"/>
    </row>
    <row r="991" ht="15.75" customHeight="1">
      <c r="C991" s="102"/>
      <c r="I991" s="71"/>
    </row>
    <row r="992" ht="15.75" customHeight="1">
      <c r="C992" s="102"/>
      <c r="I992" s="71"/>
    </row>
    <row r="993" ht="15.75" customHeight="1">
      <c r="C993" s="102"/>
      <c r="I993" s="71"/>
    </row>
    <row r="994" ht="15.75" customHeight="1">
      <c r="C994" s="102"/>
      <c r="I994" s="71"/>
    </row>
    <row r="995" ht="15.75" customHeight="1">
      <c r="C995" s="102"/>
      <c r="I995" s="71"/>
    </row>
    <row r="996" ht="15.75" customHeight="1">
      <c r="C996" s="102"/>
      <c r="I996" s="71"/>
    </row>
    <row r="997" ht="15.75" customHeight="1">
      <c r="C997" s="102"/>
      <c r="I997" s="71"/>
    </row>
    <row r="998" ht="15.75" customHeight="1">
      <c r="C998" s="102"/>
      <c r="I998" s="71"/>
    </row>
    <row r="999" ht="15.75" customHeight="1">
      <c r="C999" s="102"/>
      <c r="I999" s="71"/>
    </row>
    <row r="1000" ht="15.75" customHeight="1">
      <c r="C1000" s="102"/>
      <c r="I1000" s="71"/>
    </row>
    <row r="1001" ht="15.75" customHeight="1">
      <c r="C1001" s="102"/>
      <c r="I1001" s="71"/>
    </row>
    <row r="1002" ht="15.75" customHeight="1">
      <c r="C1002" s="102"/>
      <c r="I1002" s="71"/>
    </row>
    <row r="1003" ht="15.75" customHeight="1">
      <c r="C1003" s="102"/>
      <c r="I1003" s="71"/>
    </row>
  </sheetData>
  <mergeCells count="22">
    <mergeCell ref="A2:A4"/>
    <mergeCell ref="B2:B4"/>
    <mergeCell ref="C2:C4"/>
    <mergeCell ref="E2:J2"/>
    <mergeCell ref="Q2:V2"/>
    <mergeCell ref="W2:AB2"/>
    <mergeCell ref="AC2:AE2"/>
    <mergeCell ref="A74:D74"/>
    <mergeCell ref="A75:D75"/>
    <mergeCell ref="A76:D76"/>
    <mergeCell ref="A77:D77"/>
    <mergeCell ref="A78:D78"/>
    <mergeCell ref="A79:D79"/>
    <mergeCell ref="A80:D80"/>
    <mergeCell ref="G96:L96"/>
    <mergeCell ref="D2:D4"/>
    <mergeCell ref="A68:D68"/>
    <mergeCell ref="A69:D69"/>
    <mergeCell ref="A70:D70"/>
    <mergeCell ref="A71:D71"/>
    <mergeCell ref="A72:D72"/>
    <mergeCell ref="A73:D73"/>
  </mergeCells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6.88"/>
    <col customWidth="1" min="3" max="3" width="13.13"/>
    <col customWidth="1" min="4" max="4" width="18.13"/>
    <col customWidth="1" min="5" max="6" width="7.75"/>
    <col customWidth="1" min="7" max="7" width="9.38"/>
    <col customWidth="1" min="8" max="9" width="7.75"/>
    <col customWidth="1" min="10" max="12" width="8.5"/>
  </cols>
  <sheetData>
    <row r="1" ht="15.75" customHeight="1">
      <c r="A1" s="144"/>
      <c r="B1" s="145"/>
      <c r="C1" s="145"/>
      <c r="D1" s="145"/>
      <c r="E1" s="146" t="s">
        <v>4</v>
      </c>
      <c r="F1" s="112"/>
      <c r="G1" s="112"/>
      <c r="H1" s="112"/>
      <c r="I1" s="112"/>
      <c r="J1" s="112"/>
      <c r="K1" s="113"/>
      <c r="M1" s="71"/>
    </row>
    <row r="2" ht="15.75" customHeight="1">
      <c r="A2" s="147" t="s">
        <v>0</v>
      </c>
      <c r="B2" s="148" t="s">
        <v>1</v>
      </c>
      <c r="C2" s="148" t="s">
        <v>162</v>
      </c>
      <c r="D2" s="148" t="s">
        <v>3</v>
      </c>
      <c r="E2" s="12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163</v>
      </c>
      <c r="K2" s="149" t="s">
        <v>163</v>
      </c>
      <c r="L2" s="149" t="s">
        <v>163</v>
      </c>
      <c r="M2" s="71"/>
    </row>
    <row r="3" ht="15.75" customHeight="1">
      <c r="A3" s="150"/>
      <c r="B3" s="151"/>
      <c r="C3" s="151"/>
      <c r="D3" s="151"/>
      <c r="E3" s="17" t="s">
        <v>164</v>
      </c>
      <c r="F3" s="18" t="s">
        <v>165</v>
      </c>
      <c r="G3" s="18" t="s">
        <v>166</v>
      </c>
      <c r="H3" s="18" t="s">
        <v>167</v>
      </c>
      <c r="I3" s="18" t="s">
        <v>168</v>
      </c>
      <c r="J3" s="18" t="s">
        <v>169</v>
      </c>
      <c r="K3" s="152" t="s">
        <v>170</v>
      </c>
      <c r="L3" s="153" t="s">
        <v>171</v>
      </c>
      <c r="M3" s="71"/>
    </row>
    <row r="4" ht="15.75" customHeight="1">
      <c r="A4" s="154">
        <v>1.0</v>
      </c>
      <c r="B4" s="155">
        <v>9170.0</v>
      </c>
      <c r="C4" s="156" t="s">
        <v>172</v>
      </c>
      <c r="D4" s="157" t="s">
        <v>173</v>
      </c>
      <c r="E4" s="158"/>
      <c r="F4" s="158">
        <v>23.0</v>
      </c>
      <c r="G4" s="158">
        <v>0.0</v>
      </c>
      <c r="H4" s="159" t="s">
        <v>27</v>
      </c>
      <c r="I4" s="158">
        <v>3.0</v>
      </c>
      <c r="J4" s="158" t="s">
        <v>27</v>
      </c>
      <c r="K4" s="160" t="s">
        <v>27</v>
      </c>
      <c r="L4" s="158" t="s">
        <v>27</v>
      </c>
      <c r="M4" s="71">
        <f t="shared" ref="M4:M69" si="1">COUNTIF(E4:J4,"AB")+COUNTIF(E4:J4,"&lt;50")</f>
        <v>5</v>
      </c>
    </row>
    <row r="5" ht="15.75" customHeight="1">
      <c r="A5" s="154">
        <v>2.0</v>
      </c>
      <c r="B5" s="155">
        <v>9469.0</v>
      </c>
      <c r="C5" s="156" t="s">
        <v>174</v>
      </c>
      <c r="D5" s="157" t="s">
        <v>175</v>
      </c>
      <c r="E5" s="158"/>
      <c r="F5" s="158">
        <v>89.0</v>
      </c>
      <c r="G5" s="158">
        <v>74.0</v>
      </c>
      <c r="H5" s="159">
        <v>50.0</v>
      </c>
      <c r="I5" s="158">
        <v>88.0</v>
      </c>
      <c r="J5" s="158">
        <v>51.0</v>
      </c>
      <c r="K5" s="160">
        <f t="shared" ref="K5:K9" si="2">L5/60*100</f>
        <v>50</v>
      </c>
      <c r="L5" s="158">
        <v>30.0</v>
      </c>
      <c r="M5" s="71">
        <f t="shared" si="1"/>
        <v>0</v>
      </c>
    </row>
    <row r="6" ht="15.75" customHeight="1">
      <c r="A6" s="154">
        <v>3.0</v>
      </c>
      <c r="B6" s="155">
        <v>9488.0</v>
      </c>
      <c r="C6" s="156" t="s">
        <v>176</v>
      </c>
      <c r="D6" s="157" t="s">
        <v>177</v>
      </c>
      <c r="E6" s="158"/>
      <c r="F6" s="158">
        <v>41.0</v>
      </c>
      <c r="G6" s="158">
        <v>8.0</v>
      </c>
      <c r="H6" s="159">
        <v>50.0</v>
      </c>
      <c r="I6" s="158">
        <v>16.0</v>
      </c>
      <c r="J6" s="158">
        <v>8.0</v>
      </c>
      <c r="K6" s="160">
        <f t="shared" si="2"/>
        <v>73.33333333</v>
      </c>
      <c r="L6" s="158">
        <v>44.0</v>
      </c>
      <c r="M6" s="71">
        <f t="shared" si="1"/>
        <v>4</v>
      </c>
    </row>
    <row r="7" ht="15.75" customHeight="1">
      <c r="A7" s="154">
        <v>4.0</v>
      </c>
      <c r="B7" s="155">
        <v>9397.0</v>
      </c>
      <c r="C7" s="156" t="s">
        <v>178</v>
      </c>
      <c r="D7" s="157" t="s">
        <v>179</v>
      </c>
      <c r="E7" s="158"/>
      <c r="F7" s="158">
        <v>50.0</v>
      </c>
      <c r="G7" s="158">
        <v>19.0</v>
      </c>
      <c r="H7" s="159" t="s">
        <v>27</v>
      </c>
      <c r="I7" s="158">
        <v>59.0</v>
      </c>
      <c r="J7" s="158" t="s">
        <v>27</v>
      </c>
      <c r="K7" s="160">
        <f t="shared" si="2"/>
        <v>30</v>
      </c>
      <c r="L7" s="158">
        <v>18.0</v>
      </c>
      <c r="M7" s="71">
        <f t="shared" si="1"/>
        <v>3</v>
      </c>
    </row>
    <row r="8" ht="15.75" customHeight="1">
      <c r="A8" s="154">
        <v>5.0</v>
      </c>
      <c r="B8" s="155">
        <v>9425.0</v>
      </c>
      <c r="C8" s="156" t="s">
        <v>180</v>
      </c>
      <c r="D8" s="157" t="s">
        <v>181</v>
      </c>
      <c r="E8" s="158"/>
      <c r="F8" s="158">
        <v>54.0</v>
      </c>
      <c r="G8" s="158">
        <v>50.0</v>
      </c>
      <c r="H8" s="159">
        <v>75.0</v>
      </c>
      <c r="I8" s="158">
        <v>80.0</v>
      </c>
      <c r="J8" s="158">
        <v>53.0</v>
      </c>
      <c r="K8" s="160">
        <f t="shared" si="2"/>
        <v>68.33333333</v>
      </c>
      <c r="L8" s="158">
        <v>41.0</v>
      </c>
      <c r="M8" s="71">
        <f t="shared" si="1"/>
        <v>0</v>
      </c>
    </row>
    <row r="9">
      <c r="A9" s="154">
        <v>6.0</v>
      </c>
      <c r="B9" s="155">
        <v>9219.0</v>
      </c>
      <c r="C9" s="156" t="s">
        <v>182</v>
      </c>
      <c r="D9" s="157" t="s">
        <v>183</v>
      </c>
      <c r="E9" s="158"/>
      <c r="F9" s="158" t="s">
        <v>27</v>
      </c>
      <c r="G9" s="158" t="s">
        <v>27</v>
      </c>
      <c r="H9" s="159">
        <v>50.0</v>
      </c>
      <c r="I9" s="158" t="s">
        <v>27</v>
      </c>
      <c r="J9" s="158">
        <v>1.0</v>
      </c>
      <c r="K9" s="160">
        <f t="shared" si="2"/>
        <v>50</v>
      </c>
      <c r="L9" s="158">
        <v>30.0</v>
      </c>
      <c r="M9" s="71">
        <f t="shared" si="1"/>
        <v>4</v>
      </c>
    </row>
    <row r="10" ht="15.75" customHeight="1">
      <c r="A10" s="154">
        <v>7.0</v>
      </c>
      <c r="B10" s="155">
        <v>9489.0</v>
      </c>
      <c r="C10" s="156" t="s">
        <v>184</v>
      </c>
      <c r="D10" s="157" t="s">
        <v>185</v>
      </c>
      <c r="E10" s="158"/>
      <c r="F10" s="158">
        <v>19.0</v>
      </c>
      <c r="G10" s="158">
        <v>3.0</v>
      </c>
      <c r="H10" s="159" t="s">
        <v>27</v>
      </c>
      <c r="I10" s="158">
        <v>12.0</v>
      </c>
      <c r="J10" s="158" t="s">
        <v>27</v>
      </c>
      <c r="K10" s="160" t="s">
        <v>27</v>
      </c>
      <c r="L10" s="158" t="s">
        <v>27</v>
      </c>
      <c r="M10" s="71">
        <f t="shared" si="1"/>
        <v>5</v>
      </c>
    </row>
    <row r="11" ht="15.75" customHeight="1">
      <c r="A11" s="154">
        <v>8.0</v>
      </c>
      <c r="B11" s="155">
        <v>9110.0</v>
      </c>
      <c r="C11" s="156" t="s">
        <v>186</v>
      </c>
      <c r="D11" s="157" t="s">
        <v>187</v>
      </c>
      <c r="E11" s="158"/>
      <c r="F11" s="158">
        <v>72.0</v>
      </c>
      <c r="G11" s="158">
        <v>65.0</v>
      </c>
      <c r="H11" s="159">
        <v>50.0</v>
      </c>
      <c r="I11" s="158">
        <v>73.0</v>
      </c>
      <c r="J11" s="158">
        <v>23.0</v>
      </c>
      <c r="K11" s="160">
        <f t="shared" ref="K11:K12" si="3">L11/60*100</f>
        <v>61.66666667</v>
      </c>
      <c r="L11" s="158">
        <v>37.0</v>
      </c>
      <c r="M11" s="71">
        <f t="shared" si="1"/>
        <v>1</v>
      </c>
    </row>
    <row r="12" ht="15.75" customHeight="1">
      <c r="A12" s="154">
        <v>9.0</v>
      </c>
      <c r="B12" s="155">
        <v>9388.0</v>
      </c>
      <c r="C12" s="156" t="s">
        <v>188</v>
      </c>
      <c r="D12" s="157" t="s">
        <v>189</v>
      </c>
      <c r="E12" s="158"/>
      <c r="F12" s="158">
        <v>89.0</v>
      </c>
      <c r="G12" s="158">
        <v>67.0</v>
      </c>
      <c r="H12" s="159">
        <v>11.0</v>
      </c>
      <c r="I12" s="158">
        <v>86.0</v>
      </c>
      <c r="J12" s="158">
        <v>53.0</v>
      </c>
      <c r="K12" s="160">
        <f t="shared" si="3"/>
        <v>80</v>
      </c>
      <c r="L12" s="158">
        <v>48.0</v>
      </c>
      <c r="M12" s="71">
        <f t="shared" si="1"/>
        <v>1</v>
      </c>
      <c r="N12" s="161">
        <v>2.0</v>
      </c>
    </row>
    <row r="13" ht="15.75" customHeight="1">
      <c r="A13" s="154">
        <v>10.0</v>
      </c>
      <c r="B13" s="155">
        <v>9264.0</v>
      </c>
      <c r="C13" s="156" t="s">
        <v>190</v>
      </c>
      <c r="D13" s="157" t="s">
        <v>191</v>
      </c>
      <c r="E13" s="158"/>
      <c r="F13" s="158">
        <v>66.0</v>
      </c>
      <c r="G13" s="158">
        <v>51.0</v>
      </c>
      <c r="H13" s="159">
        <v>18.0</v>
      </c>
      <c r="I13" s="158">
        <v>76.0</v>
      </c>
      <c r="J13" s="158" t="s">
        <v>27</v>
      </c>
      <c r="K13" s="160" t="s">
        <v>27</v>
      </c>
      <c r="L13" s="158" t="s">
        <v>27</v>
      </c>
      <c r="M13" s="71">
        <f t="shared" si="1"/>
        <v>2</v>
      </c>
      <c r="N13" s="161">
        <v>3.0</v>
      </c>
    </row>
    <row r="14" ht="15.75" customHeight="1">
      <c r="A14" s="154">
        <v>11.0</v>
      </c>
      <c r="B14" s="155">
        <v>9130.0</v>
      </c>
      <c r="C14" s="156" t="s">
        <v>192</v>
      </c>
      <c r="D14" s="157" t="s">
        <v>193</v>
      </c>
      <c r="E14" s="158"/>
      <c r="F14" s="158">
        <v>45.0</v>
      </c>
      <c r="G14" s="158">
        <v>51.0</v>
      </c>
      <c r="H14" s="159">
        <v>32.0</v>
      </c>
      <c r="I14" s="158">
        <v>50.0</v>
      </c>
      <c r="J14" s="158">
        <v>32.0</v>
      </c>
      <c r="K14" s="160">
        <f t="shared" ref="K14:K25" si="4">L14/60*100</f>
        <v>60</v>
      </c>
      <c r="L14" s="158">
        <v>36.0</v>
      </c>
      <c r="M14" s="71">
        <f t="shared" si="1"/>
        <v>3</v>
      </c>
      <c r="N14" s="161">
        <v>1.0</v>
      </c>
    </row>
    <row r="15" ht="15.75" customHeight="1">
      <c r="A15" s="154">
        <v>12.0</v>
      </c>
      <c r="B15" s="155">
        <v>9286.0</v>
      </c>
      <c r="C15" s="156" t="s">
        <v>194</v>
      </c>
      <c r="D15" s="157" t="s">
        <v>195</v>
      </c>
      <c r="E15" s="158"/>
      <c r="F15" s="158">
        <v>61.0</v>
      </c>
      <c r="G15" s="158">
        <v>35.0</v>
      </c>
      <c r="H15" s="159">
        <v>50.0</v>
      </c>
      <c r="I15" s="158">
        <v>76.0</v>
      </c>
      <c r="J15" s="158">
        <v>51.0</v>
      </c>
      <c r="K15" s="160">
        <f t="shared" si="4"/>
        <v>55</v>
      </c>
      <c r="L15" s="158">
        <v>33.0</v>
      </c>
      <c r="M15" s="71">
        <f t="shared" si="1"/>
        <v>1</v>
      </c>
      <c r="N15" s="161">
        <v>0.0</v>
      </c>
    </row>
    <row r="16" ht="15.75" customHeight="1">
      <c r="A16" s="154">
        <v>13.0</v>
      </c>
      <c r="B16" s="155">
        <v>9266.0</v>
      </c>
      <c r="C16" s="156" t="s">
        <v>196</v>
      </c>
      <c r="D16" s="157" t="s">
        <v>197</v>
      </c>
      <c r="E16" s="158"/>
      <c r="F16" s="158" t="s">
        <v>27</v>
      </c>
      <c r="G16" s="158">
        <v>38.0</v>
      </c>
      <c r="H16" s="159">
        <v>50.0</v>
      </c>
      <c r="I16" s="158">
        <v>71.0</v>
      </c>
      <c r="J16" s="158">
        <v>50.0</v>
      </c>
      <c r="K16" s="160">
        <f t="shared" si="4"/>
        <v>66.66666667</v>
      </c>
      <c r="L16" s="158">
        <v>40.0</v>
      </c>
      <c r="M16" s="71">
        <f t="shared" si="1"/>
        <v>2</v>
      </c>
      <c r="N16" s="161">
        <v>4.0</v>
      </c>
    </row>
    <row r="17" ht="15.75" customHeight="1">
      <c r="A17" s="154">
        <v>14.0</v>
      </c>
      <c r="B17" s="155">
        <v>9336.0</v>
      </c>
      <c r="C17" s="156" t="s">
        <v>198</v>
      </c>
      <c r="D17" s="157" t="s">
        <v>199</v>
      </c>
      <c r="E17" s="158"/>
      <c r="F17" s="158">
        <v>73.0</v>
      </c>
      <c r="G17" s="158">
        <v>74.0</v>
      </c>
      <c r="H17" s="159">
        <v>6.0</v>
      </c>
      <c r="I17" s="158">
        <v>70.0</v>
      </c>
      <c r="J17" s="158">
        <v>50.0</v>
      </c>
      <c r="K17" s="160">
        <f t="shared" si="4"/>
        <v>86.66666667</v>
      </c>
      <c r="L17" s="158">
        <v>52.0</v>
      </c>
      <c r="M17" s="71">
        <f t="shared" si="1"/>
        <v>1</v>
      </c>
      <c r="N17" s="161">
        <v>5.0</v>
      </c>
    </row>
    <row r="18" ht="15.75" customHeight="1">
      <c r="A18" s="154">
        <v>15.0</v>
      </c>
      <c r="B18" s="155">
        <v>9239.0</v>
      </c>
      <c r="C18" s="156" t="s">
        <v>200</v>
      </c>
      <c r="D18" s="157" t="s">
        <v>201</v>
      </c>
      <c r="E18" s="158"/>
      <c r="F18" s="158">
        <v>50.0</v>
      </c>
      <c r="G18" s="158">
        <v>40.0</v>
      </c>
      <c r="H18" s="159">
        <v>63.0</v>
      </c>
      <c r="I18" s="158">
        <v>66.0</v>
      </c>
      <c r="J18" s="158">
        <v>50.0</v>
      </c>
      <c r="K18" s="160">
        <f t="shared" si="4"/>
        <v>75</v>
      </c>
      <c r="L18" s="158">
        <v>45.0</v>
      </c>
      <c r="M18" s="71">
        <f t="shared" si="1"/>
        <v>1</v>
      </c>
      <c r="N18" s="161">
        <v>6.0</v>
      </c>
    </row>
    <row r="19" ht="15.75" customHeight="1">
      <c r="A19" s="154">
        <v>16.0</v>
      </c>
      <c r="B19" s="155">
        <v>9307.0</v>
      </c>
      <c r="C19" s="156" t="s">
        <v>202</v>
      </c>
      <c r="D19" s="157" t="s">
        <v>203</v>
      </c>
      <c r="E19" s="158"/>
      <c r="F19" s="158">
        <v>54.0</v>
      </c>
      <c r="G19" s="158">
        <v>50.0</v>
      </c>
      <c r="H19" s="159">
        <v>25.0</v>
      </c>
      <c r="I19" s="158">
        <v>88.0</v>
      </c>
      <c r="J19" s="158">
        <v>53.0</v>
      </c>
      <c r="K19" s="160">
        <f t="shared" si="4"/>
        <v>66.66666667</v>
      </c>
      <c r="L19" s="158">
        <v>40.0</v>
      </c>
      <c r="M19" s="71">
        <f t="shared" si="1"/>
        <v>1</v>
      </c>
    </row>
    <row r="20" ht="15.75" customHeight="1">
      <c r="A20" s="154">
        <v>17.0</v>
      </c>
      <c r="B20" s="155">
        <v>9123.0</v>
      </c>
      <c r="C20" s="156" t="s">
        <v>204</v>
      </c>
      <c r="D20" s="157" t="s">
        <v>205</v>
      </c>
      <c r="E20" s="158"/>
      <c r="F20" s="158">
        <v>72.0</v>
      </c>
      <c r="G20" s="158">
        <v>63.0</v>
      </c>
      <c r="H20" s="159">
        <v>56.0</v>
      </c>
      <c r="I20" s="158">
        <v>87.0</v>
      </c>
      <c r="J20" s="158">
        <v>53.0</v>
      </c>
      <c r="K20" s="160">
        <f t="shared" si="4"/>
        <v>83.33333333</v>
      </c>
      <c r="L20" s="158">
        <v>50.0</v>
      </c>
      <c r="M20" s="71">
        <f t="shared" si="1"/>
        <v>0</v>
      </c>
    </row>
    <row r="21" ht="15.75" customHeight="1">
      <c r="A21" s="154">
        <v>18.0</v>
      </c>
      <c r="B21" s="155">
        <v>9283.0</v>
      </c>
      <c r="C21" s="156" t="s">
        <v>206</v>
      </c>
      <c r="D21" s="157" t="s">
        <v>207</v>
      </c>
      <c r="E21" s="158"/>
      <c r="F21" s="158" t="s">
        <v>27</v>
      </c>
      <c r="G21" s="158">
        <v>0.0</v>
      </c>
      <c r="H21" s="159" t="s">
        <v>27</v>
      </c>
      <c r="I21" s="158">
        <v>33.0</v>
      </c>
      <c r="J21" s="158">
        <v>4.0</v>
      </c>
      <c r="K21" s="160">
        <f t="shared" si="4"/>
        <v>26.66666667</v>
      </c>
      <c r="L21" s="158">
        <v>16.0</v>
      </c>
      <c r="M21" s="71">
        <f t="shared" si="1"/>
        <v>5</v>
      </c>
    </row>
    <row r="22" ht="15.75" customHeight="1">
      <c r="A22" s="154">
        <v>19.0</v>
      </c>
      <c r="B22" s="155">
        <v>9144.0</v>
      </c>
      <c r="C22" s="156" t="s">
        <v>208</v>
      </c>
      <c r="D22" s="157" t="s">
        <v>209</v>
      </c>
      <c r="E22" s="158"/>
      <c r="F22" s="158" t="s">
        <v>27</v>
      </c>
      <c r="G22" s="158">
        <v>0.0</v>
      </c>
      <c r="H22" s="159" t="s">
        <v>27</v>
      </c>
      <c r="I22" s="158">
        <v>50.0</v>
      </c>
      <c r="J22" s="158">
        <v>17.0</v>
      </c>
      <c r="K22" s="160">
        <f t="shared" si="4"/>
        <v>50</v>
      </c>
      <c r="L22" s="158">
        <v>30.0</v>
      </c>
      <c r="M22" s="71">
        <f t="shared" si="1"/>
        <v>4</v>
      </c>
    </row>
    <row r="23" ht="15.75" customHeight="1">
      <c r="A23" s="154">
        <v>20.0</v>
      </c>
      <c r="B23" s="155">
        <v>9470.0</v>
      </c>
      <c r="C23" s="156" t="s">
        <v>210</v>
      </c>
      <c r="D23" s="157" t="s">
        <v>211</v>
      </c>
      <c r="E23" s="158"/>
      <c r="F23" s="158">
        <v>60.0</v>
      </c>
      <c r="G23" s="158">
        <v>69.0</v>
      </c>
      <c r="H23" s="159">
        <v>19.0</v>
      </c>
      <c r="I23" s="158">
        <v>82.0</v>
      </c>
      <c r="J23" s="158">
        <v>54.0</v>
      </c>
      <c r="K23" s="160">
        <f t="shared" si="4"/>
        <v>75</v>
      </c>
      <c r="L23" s="158">
        <v>45.0</v>
      </c>
      <c r="M23" s="71">
        <f t="shared" si="1"/>
        <v>1</v>
      </c>
    </row>
    <row r="24">
      <c r="A24" s="154">
        <v>21.0</v>
      </c>
      <c r="B24" s="155">
        <v>9132.0</v>
      </c>
      <c r="C24" s="156" t="s">
        <v>212</v>
      </c>
      <c r="D24" s="157" t="s">
        <v>213</v>
      </c>
      <c r="E24" s="158"/>
      <c r="F24" s="158">
        <v>32.0</v>
      </c>
      <c r="G24" s="158">
        <v>0.0</v>
      </c>
      <c r="H24" s="159">
        <v>72.0</v>
      </c>
      <c r="I24" s="158">
        <v>26.0</v>
      </c>
      <c r="J24" s="158">
        <v>19.0</v>
      </c>
      <c r="K24" s="160">
        <f t="shared" si="4"/>
        <v>73.33333333</v>
      </c>
      <c r="L24" s="158">
        <v>44.0</v>
      </c>
      <c r="M24" s="71">
        <f t="shared" si="1"/>
        <v>4</v>
      </c>
    </row>
    <row r="25" ht="15.75" customHeight="1">
      <c r="A25" s="154">
        <v>22.0</v>
      </c>
      <c r="B25" s="155">
        <v>9267.0</v>
      </c>
      <c r="C25" s="156" t="s">
        <v>214</v>
      </c>
      <c r="D25" s="157" t="s">
        <v>215</v>
      </c>
      <c r="E25" s="158"/>
      <c r="F25" s="158">
        <v>65.0</v>
      </c>
      <c r="G25" s="158">
        <v>34.0</v>
      </c>
      <c r="H25" s="159">
        <v>5.0</v>
      </c>
      <c r="I25" s="158">
        <v>67.0</v>
      </c>
      <c r="J25" s="158">
        <v>53.0</v>
      </c>
      <c r="K25" s="160">
        <f t="shared" si="4"/>
        <v>71.66666667</v>
      </c>
      <c r="L25" s="158">
        <v>43.0</v>
      </c>
      <c r="M25" s="71">
        <f t="shared" si="1"/>
        <v>2</v>
      </c>
    </row>
    <row r="26" ht="15.75" customHeight="1">
      <c r="A26" s="154">
        <v>23.0</v>
      </c>
      <c r="B26" s="155">
        <v>9129.0</v>
      </c>
      <c r="C26" s="156" t="s">
        <v>216</v>
      </c>
      <c r="D26" s="157" t="s">
        <v>217</v>
      </c>
      <c r="E26" s="158"/>
      <c r="F26" s="158" t="s">
        <v>27</v>
      </c>
      <c r="G26" s="158">
        <v>26.0</v>
      </c>
      <c r="H26" s="159">
        <v>17.0</v>
      </c>
      <c r="I26" s="158" t="s">
        <v>27</v>
      </c>
      <c r="J26" s="158" t="s">
        <v>27</v>
      </c>
      <c r="K26" s="160" t="s">
        <v>27</v>
      </c>
      <c r="L26" s="158" t="s">
        <v>27</v>
      </c>
      <c r="M26" s="71">
        <f t="shared" si="1"/>
        <v>5</v>
      </c>
    </row>
    <row r="27" ht="15.75" customHeight="1">
      <c r="A27" s="154">
        <v>24.0</v>
      </c>
      <c r="B27" s="155">
        <v>9173.0</v>
      </c>
      <c r="C27" s="156" t="s">
        <v>218</v>
      </c>
      <c r="D27" s="157" t="s">
        <v>219</v>
      </c>
      <c r="E27" s="158"/>
      <c r="F27" s="158" t="s">
        <v>27</v>
      </c>
      <c r="G27" s="158" t="s">
        <v>27</v>
      </c>
      <c r="H27" s="159">
        <v>31.0</v>
      </c>
      <c r="I27" s="158" t="s">
        <v>27</v>
      </c>
      <c r="J27" s="158" t="s">
        <v>27</v>
      </c>
      <c r="K27" s="160" t="s">
        <v>27</v>
      </c>
      <c r="L27" s="158" t="s">
        <v>27</v>
      </c>
      <c r="M27" s="71">
        <f t="shared" si="1"/>
        <v>5</v>
      </c>
    </row>
    <row r="28" ht="15.75" customHeight="1">
      <c r="A28" s="154">
        <v>25.0</v>
      </c>
      <c r="B28" s="155">
        <v>9183.0</v>
      </c>
      <c r="C28" s="156" t="s">
        <v>220</v>
      </c>
      <c r="D28" s="157" t="s">
        <v>221</v>
      </c>
      <c r="E28" s="158"/>
      <c r="F28" s="158">
        <v>78.0</v>
      </c>
      <c r="G28" s="158">
        <v>81.0</v>
      </c>
      <c r="H28" s="159">
        <v>7.0</v>
      </c>
      <c r="I28" s="158">
        <v>90.0</v>
      </c>
      <c r="J28" s="158">
        <v>60.0</v>
      </c>
      <c r="K28" s="160">
        <f t="shared" ref="K28:K31" si="5">L28/60*100</f>
        <v>70</v>
      </c>
      <c r="L28" s="158">
        <v>42.0</v>
      </c>
      <c r="M28" s="71">
        <f t="shared" si="1"/>
        <v>1</v>
      </c>
    </row>
    <row r="29" ht="15.75" customHeight="1">
      <c r="A29" s="154">
        <v>26.0</v>
      </c>
      <c r="B29" s="155">
        <v>9095.0</v>
      </c>
      <c r="C29" s="156" t="s">
        <v>222</v>
      </c>
      <c r="D29" s="157" t="s">
        <v>223</v>
      </c>
      <c r="E29" s="158"/>
      <c r="F29" s="158">
        <v>63.0</v>
      </c>
      <c r="G29" s="158">
        <v>67.0</v>
      </c>
      <c r="H29" s="159">
        <v>50.0</v>
      </c>
      <c r="I29" s="158">
        <v>70.0</v>
      </c>
      <c r="J29" s="158">
        <v>56.0</v>
      </c>
      <c r="K29" s="160">
        <f t="shared" si="5"/>
        <v>70</v>
      </c>
      <c r="L29" s="158">
        <v>42.0</v>
      </c>
      <c r="M29" s="71">
        <f t="shared" si="1"/>
        <v>0</v>
      </c>
    </row>
    <row r="30" ht="15.75" customHeight="1">
      <c r="A30" s="154">
        <v>27.0</v>
      </c>
      <c r="B30" s="155">
        <v>9196.0</v>
      </c>
      <c r="C30" s="156" t="s">
        <v>224</v>
      </c>
      <c r="D30" s="157" t="s">
        <v>225</v>
      </c>
      <c r="E30" s="158"/>
      <c r="F30" s="158">
        <v>37.0</v>
      </c>
      <c r="G30" s="158">
        <v>33.0</v>
      </c>
      <c r="H30" s="159">
        <v>71.0</v>
      </c>
      <c r="I30" s="158">
        <v>35.0</v>
      </c>
      <c r="J30" s="158">
        <v>52.0</v>
      </c>
      <c r="K30" s="160">
        <f t="shared" si="5"/>
        <v>63.33333333</v>
      </c>
      <c r="L30" s="158">
        <v>38.0</v>
      </c>
      <c r="M30" s="71">
        <f t="shared" si="1"/>
        <v>3</v>
      </c>
    </row>
    <row r="31" ht="15.75" customHeight="1">
      <c r="A31" s="154">
        <v>28.0</v>
      </c>
      <c r="B31" s="155">
        <v>9188.0</v>
      </c>
      <c r="C31" s="156" t="s">
        <v>226</v>
      </c>
      <c r="D31" s="157" t="s">
        <v>227</v>
      </c>
      <c r="E31" s="158"/>
      <c r="F31" s="158">
        <v>18.0</v>
      </c>
      <c r="G31" s="158" t="s">
        <v>27</v>
      </c>
      <c r="H31" s="159">
        <v>36.0</v>
      </c>
      <c r="I31" s="158" t="s">
        <v>27</v>
      </c>
      <c r="J31" s="158">
        <v>0.0</v>
      </c>
      <c r="K31" s="160">
        <f t="shared" si="5"/>
        <v>58.33333333</v>
      </c>
      <c r="L31" s="158">
        <v>35.0</v>
      </c>
      <c r="M31" s="71">
        <f t="shared" si="1"/>
        <v>5</v>
      </c>
    </row>
    <row r="32" ht="15.75" customHeight="1">
      <c r="A32" s="154">
        <v>29.0</v>
      </c>
      <c r="B32" s="155">
        <v>9153.0</v>
      </c>
      <c r="C32" s="156" t="s">
        <v>228</v>
      </c>
      <c r="D32" s="157" t="s">
        <v>229</v>
      </c>
      <c r="E32" s="158"/>
      <c r="F32" s="158">
        <v>53.0</v>
      </c>
      <c r="G32" s="158">
        <v>31.0</v>
      </c>
      <c r="H32" s="159" t="s">
        <v>27</v>
      </c>
      <c r="I32" s="158">
        <v>50.0</v>
      </c>
      <c r="J32" s="158" t="s">
        <v>27</v>
      </c>
      <c r="K32" s="160" t="s">
        <v>27</v>
      </c>
      <c r="L32" s="158" t="s">
        <v>27</v>
      </c>
      <c r="M32" s="71">
        <f t="shared" si="1"/>
        <v>3</v>
      </c>
    </row>
    <row r="33" ht="15.75" customHeight="1">
      <c r="A33" s="154">
        <v>30.0</v>
      </c>
      <c r="B33" s="155">
        <v>9475.0</v>
      </c>
      <c r="C33" s="156" t="s">
        <v>230</v>
      </c>
      <c r="D33" s="157" t="s">
        <v>231</v>
      </c>
      <c r="E33" s="158"/>
      <c r="F33" s="158">
        <v>44.0</v>
      </c>
      <c r="G33" s="158">
        <v>51.0</v>
      </c>
      <c r="H33" s="159">
        <v>60.0</v>
      </c>
      <c r="I33" s="158">
        <v>66.0</v>
      </c>
      <c r="J33" s="158">
        <v>31.0</v>
      </c>
      <c r="K33" s="160">
        <f>L33/60*100</f>
        <v>60</v>
      </c>
      <c r="L33" s="158">
        <v>36.0</v>
      </c>
      <c r="M33" s="71">
        <f t="shared" si="1"/>
        <v>2</v>
      </c>
    </row>
    <row r="34" ht="15.75" customHeight="1">
      <c r="A34" s="154">
        <v>31.0</v>
      </c>
      <c r="B34" s="155">
        <v>9249.0</v>
      </c>
      <c r="C34" s="156" t="s">
        <v>232</v>
      </c>
      <c r="D34" s="157" t="s">
        <v>233</v>
      </c>
      <c r="E34" s="158"/>
      <c r="F34" s="158" t="s">
        <v>27</v>
      </c>
      <c r="G34" s="158" t="s">
        <v>27</v>
      </c>
      <c r="H34" s="159">
        <v>38.0</v>
      </c>
      <c r="I34" s="158" t="s">
        <v>27</v>
      </c>
      <c r="J34" s="158" t="s">
        <v>27</v>
      </c>
      <c r="K34" s="160" t="s">
        <v>27</v>
      </c>
      <c r="L34" s="158" t="s">
        <v>27</v>
      </c>
      <c r="M34" s="71">
        <f t="shared" si="1"/>
        <v>5</v>
      </c>
    </row>
    <row r="35" ht="15.75" customHeight="1">
      <c r="A35" s="154">
        <v>32.0</v>
      </c>
      <c r="B35" s="155">
        <v>9315.0</v>
      </c>
      <c r="C35" s="156" t="s">
        <v>234</v>
      </c>
      <c r="D35" s="157" t="s">
        <v>235</v>
      </c>
      <c r="E35" s="158"/>
      <c r="F35" s="158">
        <v>24.0</v>
      </c>
      <c r="G35" s="158">
        <v>22.0</v>
      </c>
      <c r="H35" s="159">
        <v>69.0</v>
      </c>
      <c r="I35" s="158">
        <v>53.0</v>
      </c>
      <c r="J35" s="158">
        <v>21.0</v>
      </c>
      <c r="K35" s="160">
        <f t="shared" ref="K35:K44" si="6">L35/60*100</f>
        <v>75</v>
      </c>
      <c r="L35" s="158">
        <v>45.0</v>
      </c>
      <c r="M35" s="71">
        <f t="shared" si="1"/>
        <v>3</v>
      </c>
    </row>
    <row r="36" ht="15.75" customHeight="1">
      <c r="A36" s="154">
        <v>33.0</v>
      </c>
      <c r="B36" s="155">
        <v>9246.0</v>
      </c>
      <c r="C36" s="156" t="s">
        <v>236</v>
      </c>
      <c r="D36" s="157" t="s">
        <v>235</v>
      </c>
      <c r="E36" s="158"/>
      <c r="F36" s="158">
        <v>65.0</v>
      </c>
      <c r="G36" s="158">
        <v>41.0</v>
      </c>
      <c r="H36" s="159">
        <v>55.0</v>
      </c>
      <c r="I36" s="158">
        <v>54.0</v>
      </c>
      <c r="J36" s="158">
        <v>13.0</v>
      </c>
      <c r="K36" s="160">
        <f t="shared" si="6"/>
        <v>96.66666667</v>
      </c>
      <c r="L36" s="158">
        <v>58.0</v>
      </c>
      <c r="M36" s="71">
        <f t="shared" si="1"/>
        <v>2</v>
      </c>
    </row>
    <row r="37" ht="15.75" customHeight="1">
      <c r="A37" s="154">
        <v>34.0</v>
      </c>
      <c r="B37" s="155">
        <v>9142.0</v>
      </c>
      <c r="C37" s="156" t="s">
        <v>237</v>
      </c>
      <c r="D37" s="157" t="s">
        <v>238</v>
      </c>
      <c r="E37" s="158"/>
      <c r="F37" s="158">
        <v>53.0</v>
      </c>
      <c r="G37" s="158">
        <v>55.0</v>
      </c>
      <c r="H37" s="159">
        <v>51.0</v>
      </c>
      <c r="I37" s="158">
        <v>51.0</v>
      </c>
      <c r="J37" s="158">
        <v>50.0</v>
      </c>
      <c r="K37" s="160">
        <f t="shared" si="6"/>
        <v>83.33333333</v>
      </c>
      <c r="L37" s="158">
        <v>50.0</v>
      </c>
      <c r="M37" s="71">
        <f t="shared" si="1"/>
        <v>0</v>
      </c>
    </row>
    <row r="38" ht="15.75" customHeight="1">
      <c r="A38" s="154">
        <v>35.0</v>
      </c>
      <c r="B38" s="155">
        <v>9339.0</v>
      </c>
      <c r="C38" s="156" t="s">
        <v>239</v>
      </c>
      <c r="D38" s="157" t="s">
        <v>240</v>
      </c>
      <c r="E38" s="158"/>
      <c r="F38" s="158">
        <v>43.0</v>
      </c>
      <c r="G38" s="158">
        <v>51.0</v>
      </c>
      <c r="H38" s="159">
        <v>50.0</v>
      </c>
      <c r="I38" s="158">
        <v>67.0</v>
      </c>
      <c r="J38" s="158">
        <v>36.0</v>
      </c>
      <c r="K38" s="160">
        <f t="shared" si="6"/>
        <v>88.33333333</v>
      </c>
      <c r="L38" s="158">
        <v>53.0</v>
      </c>
      <c r="M38" s="71">
        <f t="shared" si="1"/>
        <v>2</v>
      </c>
    </row>
    <row r="39" ht="15.75" customHeight="1">
      <c r="A39" s="154">
        <v>36.0</v>
      </c>
      <c r="B39" s="155">
        <v>9341.0</v>
      </c>
      <c r="C39" s="156" t="s">
        <v>241</v>
      </c>
      <c r="D39" s="157" t="s">
        <v>242</v>
      </c>
      <c r="E39" s="158"/>
      <c r="F39" s="158">
        <v>40.0</v>
      </c>
      <c r="G39" s="158">
        <v>29.0</v>
      </c>
      <c r="H39" s="159">
        <v>11.0</v>
      </c>
      <c r="I39" s="158">
        <v>61.0</v>
      </c>
      <c r="J39" s="158">
        <v>33.0</v>
      </c>
      <c r="K39" s="160">
        <f t="shared" si="6"/>
        <v>41.66666667</v>
      </c>
      <c r="L39" s="158">
        <v>25.0</v>
      </c>
      <c r="M39" s="71">
        <f t="shared" si="1"/>
        <v>4</v>
      </c>
    </row>
    <row r="40" ht="15.75" customHeight="1">
      <c r="A40" s="154">
        <v>37.0</v>
      </c>
      <c r="B40" s="155">
        <v>9424.0</v>
      </c>
      <c r="C40" s="156" t="s">
        <v>243</v>
      </c>
      <c r="D40" s="157" t="s">
        <v>244</v>
      </c>
      <c r="E40" s="158"/>
      <c r="F40" s="158">
        <v>58.0</v>
      </c>
      <c r="G40" s="158" t="s">
        <v>27</v>
      </c>
      <c r="H40" s="159" t="s">
        <v>27</v>
      </c>
      <c r="I40" s="158">
        <v>55.0</v>
      </c>
      <c r="J40" s="158">
        <v>53.0</v>
      </c>
      <c r="K40" s="160">
        <f t="shared" si="6"/>
        <v>73.33333333</v>
      </c>
      <c r="L40" s="158">
        <v>44.0</v>
      </c>
      <c r="M40" s="71">
        <f t="shared" si="1"/>
        <v>2</v>
      </c>
    </row>
    <row r="41" ht="15.75" customHeight="1">
      <c r="A41" s="154">
        <v>38.0</v>
      </c>
      <c r="B41" s="155">
        <v>9419.0</v>
      </c>
      <c r="C41" s="156" t="s">
        <v>245</v>
      </c>
      <c r="D41" s="157" t="s">
        <v>246</v>
      </c>
      <c r="E41" s="158"/>
      <c r="F41" s="158">
        <v>64.0</v>
      </c>
      <c r="G41" s="158">
        <v>58.0</v>
      </c>
      <c r="H41" s="159">
        <v>68.0</v>
      </c>
      <c r="I41" s="158">
        <v>81.0</v>
      </c>
      <c r="J41" s="158">
        <v>57.0</v>
      </c>
      <c r="K41" s="160">
        <f t="shared" si="6"/>
        <v>91.66666667</v>
      </c>
      <c r="L41" s="158">
        <v>55.0</v>
      </c>
      <c r="M41" s="71">
        <f t="shared" si="1"/>
        <v>0</v>
      </c>
    </row>
    <row r="42" ht="15.75" customHeight="1">
      <c r="A42" s="154">
        <v>39.0</v>
      </c>
      <c r="B42" s="155">
        <v>9432.0</v>
      </c>
      <c r="C42" s="156" t="s">
        <v>247</v>
      </c>
      <c r="D42" s="157" t="s">
        <v>248</v>
      </c>
      <c r="E42" s="158"/>
      <c r="F42" s="158">
        <v>50.0</v>
      </c>
      <c r="G42" s="158">
        <v>50.0</v>
      </c>
      <c r="H42" s="159">
        <v>14.0</v>
      </c>
      <c r="I42" s="158">
        <v>62.0</v>
      </c>
      <c r="J42" s="158">
        <v>30.0</v>
      </c>
      <c r="K42" s="160">
        <f t="shared" si="6"/>
        <v>33.33333333</v>
      </c>
      <c r="L42" s="158">
        <v>20.0</v>
      </c>
      <c r="M42" s="71">
        <f t="shared" si="1"/>
        <v>2</v>
      </c>
    </row>
    <row r="43" ht="15.75" customHeight="1">
      <c r="A43" s="154">
        <v>40.0</v>
      </c>
      <c r="B43" s="155">
        <v>9162.0</v>
      </c>
      <c r="C43" s="156" t="s">
        <v>249</v>
      </c>
      <c r="D43" s="157" t="s">
        <v>250</v>
      </c>
      <c r="E43" s="158"/>
      <c r="F43" s="158">
        <v>39.0</v>
      </c>
      <c r="G43" s="158">
        <v>30.0</v>
      </c>
      <c r="H43" s="159">
        <v>73.0</v>
      </c>
      <c r="I43" s="158">
        <v>50.0</v>
      </c>
      <c r="J43" s="158">
        <v>18.0</v>
      </c>
      <c r="K43" s="160">
        <f t="shared" si="6"/>
        <v>66.66666667</v>
      </c>
      <c r="L43" s="158">
        <v>40.0</v>
      </c>
      <c r="M43" s="71">
        <f t="shared" si="1"/>
        <v>3</v>
      </c>
    </row>
    <row r="44" ht="15.75" customHeight="1">
      <c r="A44" s="154">
        <v>41.0</v>
      </c>
      <c r="B44" s="155">
        <v>9465.0</v>
      </c>
      <c r="C44" s="156" t="s">
        <v>251</v>
      </c>
      <c r="D44" s="157" t="s">
        <v>252</v>
      </c>
      <c r="E44" s="158"/>
      <c r="F44" s="158">
        <v>62.0</v>
      </c>
      <c r="G44" s="158">
        <v>61.0</v>
      </c>
      <c r="H44" s="159">
        <v>71.0</v>
      </c>
      <c r="I44" s="158">
        <v>74.0</v>
      </c>
      <c r="J44" s="158">
        <v>61.0</v>
      </c>
      <c r="K44" s="160">
        <f t="shared" si="6"/>
        <v>56.66666667</v>
      </c>
      <c r="L44" s="158">
        <v>34.0</v>
      </c>
      <c r="M44" s="71">
        <f t="shared" si="1"/>
        <v>0</v>
      </c>
    </row>
    <row r="45" ht="15.75" customHeight="1">
      <c r="A45" s="154">
        <v>42.0</v>
      </c>
      <c r="B45" s="155">
        <v>9120.0</v>
      </c>
      <c r="C45" s="156" t="s">
        <v>253</v>
      </c>
      <c r="D45" s="157" t="s">
        <v>254</v>
      </c>
      <c r="E45" s="158"/>
      <c r="F45" s="158" t="s">
        <v>27</v>
      </c>
      <c r="G45" s="158" t="s">
        <v>27</v>
      </c>
      <c r="H45" s="159">
        <v>57.0</v>
      </c>
      <c r="I45" s="158" t="s">
        <v>27</v>
      </c>
      <c r="J45" s="158" t="s">
        <v>27</v>
      </c>
      <c r="K45" s="160" t="s">
        <v>27</v>
      </c>
      <c r="L45" s="158" t="s">
        <v>27</v>
      </c>
      <c r="M45" s="71">
        <f t="shared" si="1"/>
        <v>4</v>
      </c>
    </row>
    <row r="46" ht="15.75" customHeight="1">
      <c r="A46" s="154">
        <v>43.0</v>
      </c>
      <c r="B46" s="155">
        <v>9454.0</v>
      </c>
      <c r="C46" s="156" t="s">
        <v>255</v>
      </c>
      <c r="D46" s="157" t="s">
        <v>256</v>
      </c>
      <c r="E46" s="158"/>
      <c r="F46" s="158">
        <v>62.0</v>
      </c>
      <c r="G46" s="158">
        <v>50.0</v>
      </c>
      <c r="H46" s="159">
        <v>33.0</v>
      </c>
      <c r="I46" s="158">
        <v>70.0</v>
      </c>
      <c r="J46" s="158">
        <v>58.0</v>
      </c>
      <c r="K46" s="160">
        <f t="shared" ref="K46:K47" si="7">L46/60*100</f>
        <v>75</v>
      </c>
      <c r="L46" s="158">
        <v>45.0</v>
      </c>
      <c r="M46" s="71">
        <f t="shared" si="1"/>
        <v>1</v>
      </c>
    </row>
    <row r="47" ht="15.75" customHeight="1">
      <c r="A47" s="154">
        <v>44.0</v>
      </c>
      <c r="B47" s="155">
        <v>9353.0</v>
      </c>
      <c r="C47" s="156" t="s">
        <v>257</v>
      </c>
      <c r="D47" s="157" t="s">
        <v>258</v>
      </c>
      <c r="E47" s="158"/>
      <c r="F47" s="158">
        <v>70.0</v>
      </c>
      <c r="G47" s="158">
        <v>77.0</v>
      </c>
      <c r="H47" s="159">
        <v>87.0</v>
      </c>
      <c r="I47" s="158">
        <v>82.0</v>
      </c>
      <c r="J47" s="158">
        <v>54.0</v>
      </c>
      <c r="K47" s="160">
        <f t="shared" si="7"/>
        <v>70</v>
      </c>
      <c r="L47" s="158">
        <v>42.0</v>
      </c>
      <c r="M47" s="71">
        <f t="shared" si="1"/>
        <v>0</v>
      </c>
    </row>
    <row r="48" ht="15.75" customHeight="1">
      <c r="A48" s="154">
        <v>45.0</v>
      </c>
      <c r="B48" s="155">
        <v>9380.0</v>
      </c>
      <c r="C48" s="156" t="s">
        <v>259</v>
      </c>
      <c r="D48" s="157" t="s">
        <v>260</v>
      </c>
      <c r="E48" s="158"/>
      <c r="F48" s="158">
        <v>62.0</v>
      </c>
      <c r="G48" s="158">
        <v>20.0</v>
      </c>
      <c r="H48" s="159">
        <v>37.0</v>
      </c>
      <c r="I48" s="158">
        <v>74.0</v>
      </c>
      <c r="J48" s="158" t="s">
        <v>27</v>
      </c>
      <c r="K48" s="160" t="s">
        <v>27</v>
      </c>
      <c r="L48" s="158" t="s">
        <v>27</v>
      </c>
      <c r="M48" s="71">
        <f t="shared" si="1"/>
        <v>3</v>
      </c>
    </row>
    <row r="49" ht="15.75" customHeight="1">
      <c r="A49" s="154">
        <v>46.0</v>
      </c>
      <c r="B49" s="155">
        <v>9279.0</v>
      </c>
      <c r="C49" s="156" t="s">
        <v>261</v>
      </c>
      <c r="D49" s="157" t="s">
        <v>262</v>
      </c>
      <c r="E49" s="158"/>
      <c r="F49" s="158">
        <v>40.0</v>
      </c>
      <c r="G49" s="158" t="s">
        <v>27</v>
      </c>
      <c r="H49" s="159">
        <v>75.0</v>
      </c>
      <c r="I49" s="158">
        <v>50.0</v>
      </c>
      <c r="J49" s="158">
        <v>15.0</v>
      </c>
      <c r="K49" s="160">
        <f t="shared" ref="K49:K57" si="8">L49/60*100</f>
        <v>60</v>
      </c>
      <c r="L49" s="158">
        <v>36.0</v>
      </c>
      <c r="M49" s="71">
        <f t="shared" si="1"/>
        <v>3</v>
      </c>
    </row>
    <row r="50" ht="15.75" customHeight="1">
      <c r="A50" s="154">
        <v>47.0</v>
      </c>
      <c r="B50" s="155">
        <v>9395.0</v>
      </c>
      <c r="C50" s="156" t="s">
        <v>263</v>
      </c>
      <c r="D50" s="157" t="s">
        <v>264</v>
      </c>
      <c r="E50" s="158"/>
      <c r="F50" s="158">
        <v>6.0</v>
      </c>
      <c r="G50" s="158" t="s">
        <v>27</v>
      </c>
      <c r="H50" s="159">
        <v>50.0</v>
      </c>
      <c r="I50" s="158" t="s">
        <v>27</v>
      </c>
      <c r="J50" s="158">
        <v>18.0</v>
      </c>
      <c r="K50" s="160">
        <f t="shared" si="8"/>
        <v>50</v>
      </c>
      <c r="L50" s="158">
        <v>30.0</v>
      </c>
      <c r="M50" s="71">
        <f t="shared" si="1"/>
        <v>4</v>
      </c>
    </row>
    <row r="51" ht="15.75" customHeight="1">
      <c r="A51" s="154">
        <v>48.0</v>
      </c>
      <c r="B51" s="155">
        <v>9229.0</v>
      </c>
      <c r="C51" s="156" t="s">
        <v>265</v>
      </c>
      <c r="D51" s="157" t="s">
        <v>266</v>
      </c>
      <c r="E51" s="158"/>
      <c r="F51" s="158">
        <v>3.0</v>
      </c>
      <c r="G51" s="158">
        <v>34.0</v>
      </c>
      <c r="H51" s="159">
        <v>4.0</v>
      </c>
      <c r="I51" s="158">
        <v>31.0</v>
      </c>
      <c r="J51" s="158">
        <v>15.0</v>
      </c>
      <c r="K51" s="160">
        <f t="shared" si="8"/>
        <v>36.66666667</v>
      </c>
      <c r="L51" s="158">
        <v>22.0</v>
      </c>
      <c r="M51" s="71">
        <f t="shared" si="1"/>
        <v>5</v>
      </c>
    </row>
    <row r="52" ht="15.75" customHeight="1">
      <c r="A52" s="154">
        <v>49.0</v>
      </c>
      <c r="B52" s="155">
        <v>9157.0</v>
      </c>
      <c r="C52" s="156" t="s">
        <v>267</v>
      </c>
      <c r="D52" s="157" t="s">
        <v>268</v>
      </c>
      <c r="E52" s="158" t="s">
        <v>269</v>
      </c>
      <c r="F52" s="158">
        <v>6.0</v>
      </c>
      <c r="G52" s="158">
        <v>50.0</v>
      </c>
      <c r="H52" s="159">
        <v>6.0</v>
      </c>
      <c r="I52" s="158">
        <v>35.0</v>
      </c>
      <c r="J52" s="158">
        <v>8.0</v>
      </c>
      <c r="K52" s="160">
        <f t="shared" si="8"/>
        <v>16.66666667</v>
      </c>
      <c r="L52" s="158">
        <v>10.0</v>
      </c>
      <c r="M52" s="71">
        <f t="shared" si="1"/>
        <v>4</v>
      </c>
    </row>
    <row r="53" ht="15.75" customHeight="1">
      <c r="A53" s="154">
        <v>50.0</v>
      </c>
      <c r="B53" s="155">
        <v>9176.0</v>
      </c>
      <c r="C53" s="156" t="s">
        <v>270</v>
      </c>
      <c r="D53" s="157" t="s">
        <v>271</v>
      </c>
      <c r="E53" s="158"/>
      <c r="F53" s="158">
        <v>51.0</v>
      </c>
      <c r="G53" s="158">
        <v>60.0</v>
      </c>
      <c r="H53" s="159">
        <v>77.0</v>
      </c>
      <c r="I53" s="158" t="s">
        <v>27</v>
      </c>
      <c r="J53" s="158">
        <v>56.0</v>
      </c>
      <c r="K53" s="160">
        <f t="shared" si="8"/>
        <v>36.66666667</v>
      </c>
      <c r="L53" s="158">
        <v>22.0</v>
      </c>
      <c r="M53" s="71">
        <f t="shared" si="1"/>
        <v>1</v>
      </c>
    </row>
    <row r="54" ht="15.75" customHeight="1">
      <c r="A54" s="154">
        <v>51.0</v>
      </c>
      <c r="B54" s="155">
        <v>9403.0</v>
      </c>
      <c r="C54" s="156" t="s">
        <v>272</v>
      </c>
      <c r="D54" s="157" t="s">
        <v>273</v>
      </c>
      <c r="E54" s="158"/>
      <c r="F54" s="158">
        <v>58.0</v>
      </c>
      <c r="G54" s="158">
        <v>63.0</v>
      </c>
      <c r="H54" s="159">
        <v>65.0</v>
      </c>
      <c r="I54" s="158">
        <v>82.0</v>
      </c>
      <c r="J54" s="158">
        <v>22.0</v>
      </c>
      <c r="K54" s="160">
        <f t="shared" si="8"/>
        <v>70</v>
      </c>
      <c r="L54" s="158">
        <v>42.0</v>
      </c>
      <c r="M54" s="71">
        <f t="shared" si="1"/>
        <v>1</v>
      </c>
    </row>
    <row r="55" ht="15.75" customHeight="1">
      <c r="A55" s="154">
        <v>52.0</v>
      </c>
      <c r="B55" s="155">
        <v>9150.0</v>
      </c>
      <c r="C55" s="156" t="s">
        <v>274</v>
      </c>
      <c r="D55" s="157" t="s">
        <v>275</v>
      </c>
      <c r="E55" s="158"/>
      <c r="F55" s="158">
        <v>52.0</v>
      </c>
      <c r="G55" s="158">
        <v>52.0</v>
      </c>
      <c r="H55" s="159">
        <v>57.0</v>
      </c>
      <c r="I55" s="158">
        <v>74.0</v>
      </c>
      <c r="J55" s="158">
        <v>27.0</v>
      </c>
      <c r="K55" s="160">
        <f t="shared" si="8"/>
        <v>78.33333333</v>
      </c>
      <c r="L55" s="158">
        <v>47.0</v>
      </c>
      <c r="M55" s="71">
        <f t="shared" si="1"/>
        <v>1</v>
      </c>
    </row>
    <row r="56" ht="15.75" customHeight="1">
      <c r="A56" s="154">
        <v>53.0</v>
      </c>
      <c r="B56" s="155">
        <v>9254.0</v>
      </c>
      <c r="C56" s="156" t="s">
        <v>276</v>
      </c>
      <c r="D56" s="157" t="s">
        <v>277</v>
      </c>
      <c r="E56" s="158"/>
      <c r="F56" s="158">
        <v>75.0</v>
      </c>
      <c r="G56" s="158">
        <v>71.0</v>
      </c>
      <c r="H56" s="159">
        <v>51.0</v>
      </c>
      <c r="I56" s="158">
        <v>82.0</v>
      </c>
      <c r="J56" s="158">
        <v>54.0</v>
      </c>
      <c r="K56" s="160">
        <f t="shared" si="8"/>
        <v>78.33333333</v>
      </c>
      <c r="L56" s="158">
        <v>47.0</v>
      </c>
      <c r="M56" s="71">
        <f t="shared" si="1"/>
        <v>0</v>
      </c>
    </row>
    <row r="57" ht="15.75" customHeight="1">
      <c r="A57" s="154">
        <v>54.0</v>
      </c>
      <c r="B57" s="155">
        <v>9163.0</v>
      </c>
      <c r="C57" s="156" t="s">
        <v>278</v>
      </c>
      <c r="D57" s="157" t="s">
        <v>279</v>
      </c>
      <c r="E57" s="158"/>
      <c r="F57" s="158">
        <v>19.0</v>
      </c>
      <c r="G57" s="158">
        <v>23.0</v>
      </c>
      <c r="H57" s="159" t="s">
        <v>27</v>
      </c>
      <c r="I57" s="158">
        <v>24.0</v>
      </c>
      <c r="J57" s="158">
        <v>33.0</v>
      </c>
      <c r="K57" s="160">
        <f t="shared" si="8"/>
        <v>28.33333333</v>
      </c>
      <c r="L57" s="158">
        <v>17.0</v>
      </c>
      <c r="M57" s="71">
        <f t="shared" si="1"/>
        <v>5</v>
      </c>
    </row>
    <row r="58" ht="15.75" customHeight="1">
      <c r="A58" s="154">
        <v>55.0</v>
      </c>
      <c r="B58" s="155">
        <v>9262.0</v>
      </c>
      <c r="C58" s="156" t="s">
        <v>280</v>
      </c>
      <c r="D58" s="157" t="s">
        <v>281</v>
      </c>
      <c r="E58" s="158"/>
      <c r="F58" s="158" t="s">
        <v>27</v>
      </c>
      <c r="G58" s="158">
        <v>0.0</v>
      </c>
      <c r="H58" s="159">
        <v>64.0</v>
      </c>
      <c r="I58" s="158" t="s">
        <v>27</v>
      </c>
      <c r="J58" s="158" t="s">
        <v>27</v>
      </c>
      <c r="K58" s="160" t="s">
        <v>27</v>
      </c>
      <c r="L58" s="158" t="s">
        <v>27</v>
      </c>
      <c r="M58" s="71">
        <f t="shared" si="1"/>
        <v>4</v>
      </c>
    </row>
    <row r="59" ht="15.75" customHeight="1">
      <c r="A59" s="154">
        <v>56.0</v>
      </c>
      <c r="B59" s="155">
        <v>9393.0</v>
      </c>
      <c r="C59" s="156" t="s">
        <v>282</v>
      </c>
      <c r="D59" s="157" t="s">
        <v>283</v>
      </c>
      <c r="E59" s="158"/>
      <c r="F59" s="158">
        <v>78.0</v>
      </c>
      <c r="G59" s="158">
        <v>73.0</v>
      </c>
      <c r="H59" s="159">
        <v>25.0</v>
      </c>
      <c r="I59" s="158">
        <v>81.0</v>
      </c>
      <c r="J59" s="158">
        <v>51.0</v>
      </c>
      <c r="K59" s="160">
        <f t="shared" ref="K59:K60" si="9">L59/60*100</f>
        <v>83.33333333</v>
      </c>
      <c r="L59" s="158">
        <v>50.0</v>
      </c>
      <c r="M59" s="71">
        <f t="shared" si="1"/>
        <v>1</v>
      </c>
    </row>
    <row r="60" ht="15.75" customHeight="1">
      <c r="A60" s="154">
        <v>57.0</v>
      </c>
      <c r="B60" s="155">
        <v>9169.0</v>
      </c>
      <c r="C60" s="156" t="s">
        <v>284</v>
      </c>
      <c r="D60" s="157" t="s">
        <v>285</v>
      </c>
      <c r="E60" s="158"/>
      <c r="F60" s="158">
        <v>58.0</v>
      </c>
      <c r="G60" s="158">
        <v>52.0</v>
      </c>
      <c r="H60" s="159">
        <v>6.0</v>
      </c>
      <c r="I60" s="158">
        <v>61.0</v>
      </c>
      <c r="J60" s="158">
        <v>50.0</v>
      </c>
      <c r="K60" s="160">
        <f t="shared" si="9"/>
        <v>66.66666667</v>
      </c>
      <c r="L60" s="158">
        <v>40.0</v>
      </c>
      <c r="M60" s="71">
        <f t="shared" si="1"/>
        <v>1</v>
      </c>
    </row>
    <row r="61" ht="15.75" customHeight="1">
      <c r="A61" s="154">
        <v>58.0</v>
      </c>
      <c r="B61" s="155">
        <v>9333.0</v>
      </c>
      <c r="C61" s="156" t="s">
        <v>286</v>
      </c>
      <c r="D61" s="157" t="s">
        <v>287</v>
      </c>
      <c r="E61" s="158"/>
      <c r="F61" s="158">
        <v>70.0</v>
      </c>
      <c r="G61" s="158">
        <v>77.0</v>
      </c>
      <c r="H61" s="159">
        <v>78.0</v>
      </c>
      <c r="I61" s="158">
        <v>78.0</v>
      </c>
      <c r="J61" s="158" t="s">
        <v>27</v>
      </c>
      <c r="K61" s="160" t="s">
        <v>27</v>
      </c>
      <c r="L61" s="158" t="s">
        <v>27</v>
      </c>
      <c r="M61" s="71">
        <f t="shared" si="1"/>
        <v>1</v>
      </c>
    </row>
    <row r="62" ht="15.75" customHeight="1">
      <c r="A62" s="154">
        <v>59.0</v>
      </c>
      <c r="B62" s="155">
        <v>9401.0</v>
      </c>
      <c r="C62" s="156" t="s">
        <v>288</v>
      </c>
      <c r="D62" s="157" t="s">
        <v>289</v>
      </c>
      <c r="E62" s="158"/>
      <c r="F62" s="158">
        <v>86.0</v>
      </c>
      <c r="G62" s="158">
        <v>82.0</v>
      </c>
      <c r="H62" s="159">
        <v>65.0</v>
      </c>
      <c r="I62" s="158">
        <v>90.0</v>
      </c>
      <c r="J62" s="158">
        <v>52.0</v>
      </c>
      <c r="K62" s="160">
        <f t="shared" ref="K62:K69" si="10">L62/60*100</f>
        <v>83.33333333</v>
      </c>
      <c r="L62" s="158">
        <v>50.0</v>
      </c>
      <c r="M62" s="71">
        <f t="shared" si="1"/>
        <v>0</v>
      </c>
    </row>
    <row r="63" ht="15.75" customHeight="1">
      <c r="A63" s="154">
        <v>60.0</v>
      </c>
      <c r="B63" s="155">
        <v>9194.0</v>
      </c>
      <c r="C63" s="156" t="s">
        <v>290</v>
      </c>
      <c r="D63" s="157" t="s">
        <v>291</v>
      </c>
      <c r="E63" s="158"/>
      <c r="F63" s="158">
        <v>19.0</v>
      </c>
      <c r="G63" s="158">
        <v>17.0</v>
      </c>
      <c r="H63" s="159">
        <v>67.0</v>
      </c>
      <c r="I63" s="158">
        <v>24.0</v>
      </c>
      <c r="J63" s="158">
        <v>4.0</v>
      </c>
      <c r="K63" s="160">
        <f t="shared" si="10"/>
        <v>56.66666667</v>
      </c>
      <c r="L63" s="158">
        <v>34.0</v>
      </c>
      <c r="M63" s="71">
        <f t="shared" si="1"/>
        <v>4</v>
      </c>
    </row>
    <row r="64" ht="15.75" customHeight="1">
      <c r="A64" s="154">
        <v>61.0</v>
      </c>
      <c r="B64" s="155">
        <v>9406.0</v>
      </c>
      <c r="C64" s="156" t="s">
        <v>292</v>
      </c>
      <c r="D64" s="157" t="s">
        <v>293</v>
      </c>
      <c r="E64" s="158"/>
      <c r="F64" s="158">
        <v>57.0</v>
      </c>
      <c r="G64" s="158">
        <v>56.0</v>
      </c>
      <c r="H64" s="159">
        <v>44.0</v>
      </c>
      <c r="I64" s="158">
        <v>56.0</v>
      </c>
      <c r="J64" s="158">
        <v>51.0</v>
      </c>
      <c r="K64" s="160">
        <f t="shared" si="10"/>
        <v>75</v>
      </c>
      <c r="L64" s="158">
        <v>45.0</v>
      </c>
      <c r="M64" s="71">
        <f t="shared" si="1"/>
        <v>1</v>
      </c>
    </row>
    <row r="65" ht="15.75" customHeight="1">
      <c r="A65" s="154">
        <v>62.0</v>
      </c>
      <c r="B65" s="155">
        <v>9124.0</v>
      </c>
      <c r="C65" s="156" t="s">
        <v>294</v>
      </c>
      <c r="D65" s="157" t="s">
        <v>295</v>
      </c>
      <c r="E65" s="158"/>
      <c r="F65" s="158">
        <v>51.0</v>
      </c>
      <c r="G65" s="158">
        <v>51.0</v>
      </c>
      <c r="H65" s="159">
        <v>50.0</v>
      </c>
      <c r="I65" s="158">
        <v>50.0</v>
      </c>
      <c r="J65" s="158">
        <v>51.0</v>
      </c>
      <c r="K65" s="160">
        <f t="shared" si="10"/>
        <v>73.33333333</v>
      </c>
      <c r="L65" s="158">
        <v>44.0</v>
      </c>
      <c r="M65" s="71">
        <f t="shared" si="1"/>
        <v>0</v>
      </c>
    </row>
    <row r="66" ht="15.75" customHeight="1">
      <c r="A66" s="154">
        <v>63.0</v>
      </c>
      <c r="B66" s="155">
        <v>9536.0</v>
      </c>
      <c r="C66" s="157">
        <v>9.11723104302E11</v>
      </c>
      <c r="D66" s="157" t="s">
        <v>296</v>
      </c>
      <c r="E66" s="158"/>
      <c r="F66" s="158">
        <v>50.0</v>
      </c>
      <c r="G66" s="158">
        <v>12.0</v>
      </c>
      <c r="H66" s="159">
        <v>15.0</v>
      </c>
      <c r="I66" s="158">
        <v>59.0</v>
      </c>
      <c r="J66" s="158">
        <v>14.0</v>
      </c>
      <c r="K66" s="160">
        <f t="shared" si="10"/>
        <v>40</v>
      </c>
      <c r="L66" s="158">
        <v>24.0</v>
      </c>
      <c r="M66" s="71">
        <f t="shared" si="1"/>
        <v>3</v>
      </c>
    </row>
    <row r="67" ht="15.75" customHeight="1">
      <c r="A67" s="154">
        <v>64.0</v>
      </c>
      <c r="B67" s="155">
        <v>9850.0</v>
      </c>
      <c r="C67" s="157">
        <v>9.11723104303E11</v>
      </c>
      <c r="D67" s="157" t="s">
        <v>297</v>
      </c>
      <c r="E67" s="158"/>
      <c r="F67" s="158">
        <v>43.0</v>
      </c>
      <c r="G67" s="158">
        <v>10.0</v>
      </c>
      <c r="H67" s="159">
        <v>42.0</v>
      </c>
      <c r="I67" s="158">
        <v>52.0</v>
      </c>
      <c r="J67" s="158">
        <v>12.0</v>
      </c>
      <c r="K67" s="160">
        <f t="shared" si="10"/>
        <v>36.66666667</v>
      </c>
      <c r="L67" s="158">
        <v>22.0</v>
      </c>
      <c r="M67" s="71">
        <f t="shared" si="1"/>
        <v>4</v>
      </c>
    </row>
    <row r="68" ht="15.75" customHeight="1">
      <c r="A68" s="154">
        <v>65.0</v>
      </c>
      <c r="B68" s="155">
        <v>9878.0</v>
      </c>
      <c r="C68" s="157">
        <v>9.11723104301E11</v>
      </c>
      <c r="D68" s="157" t="s">
        <v>298</v>
      </c>
      <c r="E68" s="158"/>
      <c r="F68" s="158">
        <v>19.0</v>
      </c>
      <c r="G68" s="158">
        <v>0.0</v>
      </c>
      <c r="H68" s="159">
        <v>41.0</v>
      </c>
      <c r="I68" s="158">
        <v>10.0</v>
      </c>
      <c r="J68" s="158">
        <v>1.0</v>
      </c>
      <c r="K68" s="160">
        <f t="shared" si="10"/>
        <v>50</v>
      </c>
      <c r="L68" s="158">
        <v>30.0</v>
      </c>
      <c r="M68" s="71">
        <f t="shared" si="1"/>
        <v>5</v>
      </c>
    </row>
    <row r="69" ht="15.75" customHeight="1">
      <c r="A69" s="154">
        <v>66.0</v>
      </c>
      <c r="B69" s="155">
        <v>8742.0</v>
      </c>
      <c r="C69" s="157">
        <v>9.11723104501E11</v>
      </c>
      <c r="D69" s="157" t="s">
        <v>299</v>
      </c>
      <c r="E69" s="158"/>
      <c r="F69" s="158" t="s">
        <v>27</v>
      </c>
      <c r="G69" s="158" t="s">
        <v>27</v>
      </c>
      <c r="H69" s="159" t="s">
        <v>27</v>
      </c>
      <c r="I69" s="158" t="s">
        <v>27</v>
      </c>
      <c r="J69" s="158">
        <v>0.0</v>
      </c>
      <c r="K69" s="160">
        <f t="shared" si="10"/>
        <v>50</v>
      </c>
      <c r="L69" s="158">
        <v>30.0</v>
      </c>
      <c r="M69" s="71">
        <f t="shared" si="1"/>
        <v>5</v>
      </c>
    </row>
    <row r="70" ht="15.75" customHeight="1">
      <c r="A70" s="154"/>
      <c r="B70" s="155"/>
      <c r="C70" s="157"/>
      <c r="D70" s="162"/>
      <c r="E70" s="98"/>
      <c r="F70" s="98"/>
      <c r="G70" s="98"/>
      <c r="H70" s="98"/>
      <c r="I70" s="157"/>
      <c r="J70" s="98"/>
      <c r="K70" s="163"/>
      <c r="L70" s="163"/>
      <c r="M70" s="71"/>
    </row>
    <row r="71" ht="15.75" customHeight="1">
      <c r="A71" s="54" t="s">
        <v>83</v>
      </c>
      <c r="B71" s="55"/>
      <c r="C71" s="55"/>
      <c r="D71" s="56"/>
      <c r="E71" s="98">
        <v>66.0</v>
      </c>
      <c r="F71" s="98">
        <v>66.0</v>
      </c>
      <c r="G71" s="98">
        <v>66.0</v>
      </c>
      <c r="H71" s="98">
        <v>66.0</v>
      </c>
      <c r="I71" s="98">
        <v>66.0</v>
      </c>
      <c r="J71" s="98">
        <v>66.0</v>
      </c>
      <c r="K71" s="163">
        <v>66.0</v>
      </c>
      <c r="L71" s="163">
        <v>66.0</v>
      </c>
      <c r="M71" s="71"/>
    </row>
    <row r="72" ht="15.75" customHeight="1">
      <c r="A72" s="54" t="s">
        <v>84</v>
      </c>
      <c r="B72" s="55"/>
      <c r="C72" s="55"/>
      <c r="D72" s="56"/>
      <c r="E72" s="98">
        <f t="shared" ref="E72:L72" si="11">E71-E73</f>
        <v>66</v>
      </c>
      <c r="F72" s="98">
        <f t="shared" si="11"/>
        <v>56</v>
      </c>
      <c r="G72" s="98">
        <f t="shared" si="11"/>
        <v>57</v>
      </c>
      <c r="H72" s="98">
        <f t="shared" si="11"/>
        <v>57</v>
      </c>
      <c r="I72" s="98">
        <f t="shared" si="11"/>
        <v>56</v>
      </c>
      <c r="J72" s="98">
        <f t="shared" si="11"/>
        <v>54</v>
      </c>
      <c r="K72" s="163">
        <f t="shared" si="11"/>
        <v>54</v>
      </c>
      <c r="L72" s="163">
        <f t="shared" si="11"/>
        <v>55</v>
      </c>
      <c r="M72" s="71"/>
    </row>
    <row r="73" ht="15.75" customHeight="1">
      <c r="A73" s="54" t="s">
        <v>85</v>
      </c>
      <c r="B73" s="55"/>
      <c r="C73" s="55"/>
      <c r="D73" s="56"/>
      <c r="E73" s="98">
        <f t="shared" ref="E73:J73" si="12">COUNTIF(E4:E69,"AB")</f>
        <v>0</v>
      </c>
      <c r="F73" s="98">
        <f t="shared" si="12"/>
        <v>10</v>
      </c>
      <c r="G73" s="98">
        <f t="shared" si="12"/>
        <v>9</v>
      </c>
      <c r="H73" s="98">
        <f t="shared" si="12"/>
        <v>9</v>
      </c>
      <c r="I73" s="98">
        <f t="shared" si="12"/>
        <v>10</v>
      </c>
      <c r="J73" s="98">
        <f t="shared" si="12"/>
        <v>12</v>
      </c>
      <c r="K73" s="163">
        <f>COUNTIF(J4:J69,"AB")</f>
        <v>12</v>
      </c>
      <c r="L73" s="163">
        <f>COUNTIF(L4:L69,"AB")</f>
        <v>11</v>
      </c>
      <c r="M73" s="71"/>
    </row>
    <row r="74" ht="15.75" customHeight="1">
      <c r="A74" s="54" t="s">
        <v>86</v>
      </c>
      <c r="B74" s="55"/>
      <c r="C74" s="55"/>
      <c r="D74" s="56"/>
      <c r="E74" s="98">
        <f t="shared" ref="E74:L74" si="13">COUNTIF(E4:E69,"&gt;=50")</f>
        <v>0</v>
      </c>
      <c r="F74" s="98">
        <f t="shared" si="13"/>
        <v>36</v>
      </c>
      <c r="G74" s="98">
        <f t="shared" si="13"/>
        <v>31</v>
      </c>
      <c r="H74" s="98">
        <f t="shared" si="13"/>
        <v>33</v>
      </c>
      <c r="I74" s="98">
        <f t="shared" si="13"/>
        <v>45</v>
      </c>
      <c r="J74" s="98">
        <f t="shared" si="13"/>
        <v>27</v>
      </c>
      <c r="K74" s="98">
        <f t="shared" si="13"/>
        <v>45</v>
      </c>
      <c r="L74" s="163">
        <f t="shared" si="13"/>
        <v>8</v>
      </c>
      <c r="M74" s="71"/>
    </row>
    <row r="75" ht="15.75" customHeight="1">
      <c r="A75" s="54" t="s">
        <v>87</v>
      </c>
      <c r="B75" s="55"/>
      <c r="C75" s="55"/>
      <c r="D75" s="56"/>
      <c r="E75" s="98">
        <f t="shared" ref="E75:K75" si="14">E72-E74</f>
        <v>66</v>
      </c>
      <c r="F75" s="98">
        <f t="shared" si="14"/>
        <v>20</v>
      </c>
      <c r="G75" s="98">
        <f t="shared" si="14"/>
        <v>26</v>
      </c>
      <c r="H75" s="98">
        <f t="shared" si="14"/>
        <v>24</v>
      </c>
      <c r="I75" s="98">
        <f t="shared" si="14"/>
        <v>11</v>
      </c>
      <c r="J75" s="98">
        <f t="shared" si="14"/>
        <v>27</v>
      </c>
      <c r="K75" s="98">
        <f t="shared" si="14"/>
        <v>9</v>
      </c>
      <c r="L75" s="163">
        <f>L71-L74</f>
        <v>58</v>
      </c>
      <c r="M75" s="71"/>
    </row>
    <row r="76" ht="15.75" customHeight="1">
      <c r="A76" s="54" t="s">
        <v>88</v>
      </c>
      <c r="B76" s="55"/>
      <c r="C76" s="55"/>
      <c r="D76" s="56"/>
      <c r="E76" s="164">
        <f t="shared" ref="E76:L76" si="15">(E74/E71)*100</f>
        <v>0</v>
      </c>
      <c r="F76" s="164">
        <f t="shared" si="15"/>
        <v>54.54545455</v>
      </c>
      <c r="G76" s="164">
        <f t="shared" si="15"/>
        <v>46.96969697</v>
      </c>
      <c r="H76" s="164">
        <f t="shared" si="15"/>
        <v>50</v>
      </c>
      <c r="I76" s="164">
        <f t="shared" si="15"/>
        <v>68.18181818</v>
      </c>
      <c r="J76" s="164">
        <f t="shared" si="15"/>
        <v>40.90909091</v>
      </c>
      <c r="K76" s="165">
        <f t="shared" si="15"/>
        <v>68.18181818</v>
      </c>
      <c r="L76" s="165">
        <f t="shared" si="15"/>
        <v>12.12121212</v>
      </c>
      <c r="M76" s="71"/>
    </row>
    <row r="77" ht="15.75" customHeight="1">
      <c r="A77" s="62" t="s">
        <v>89</v>
      </c>
      <c r="B77" s="55"/>
      <c r="C77" s="55"/>
      <c r="D77" s="56"/>
      <c r="E77" s="98">
        <f t="shared" ref="E77:L77" si="16">COUNTIF(E4:E69,"&lt;25")</f>
        <v>0</v>
      </c>
      <c r="F77" s="98">
        <f t="shared" si="16"/>
        <v>10</v>
      </c>
      <c r="G77" s="98">
        <f t="shared" si="16"/>
        <v>15</v>
      </c>
      <c r="H77" s="98">
        <f t="shared" si="16"/>
        <v>13</v>
      </c>
      <c r="I77" s="98">
        <f t="shared" si="16"/>
        <v>6</v>
      </c>
      <c r="J77" s="98">
        <f t="shared" si="16"/>
        <v>20</v>
      </c>
      <c r="K77" s="98">
        <f t="shared" si="16"/>
        <v>1</v>
      </c>
      <c r="L77" s="98">
        <f t="shared" si="16"/>
        <v>9</v>
      </c>
      <c r="M77" s="71"/>
    </row>
    <row r="78" ht="15.75" customHeight="1">
      <c r="A78" s="166"/>
      <c r="B78" s="166"/>
      <c r="C78" s="166"/>
      <c r="D78" s="166" t="s">
        <v>300</v>
      </c>
      <c r="E78" s="98">
        <f t="shared" ref="E78:L78" si="17">COUNTIFS(E4:E69, "&gt;=25",E4:E69, "&lt;=49")</f>
        <v>0</v>
      </c>
      <c r="F78" s="98">
        <f t="shared" si="17"/>
        <v>10</v>
      </c>
      <c r="G78" s="98">
        <f t="shared" si="17"/>
        <v>11</v>
      </c>
      <c r="H78" s="98">
        <f t="shared" si="17"/>
        <v>11</v>
      </c>
      <c r="I78" s="98">
        <f t="shared" si="17"/>
        <v>5</v>
      </c>
      <c r="J78" s="98">
        <f t="shared" si="17"/>
        <v>7</v>
      </c>
      <c r="K78" s="98">
        <f t="shared" si="17"/>
        <v>9</v>
      </c>
      <c r="L78" s="98">
        <f t="shared" si="17"/>
        <v>38</v>
      </c>
      <c r="M78" s="71"/>
    </row>
    <row r="79" ht="15.75" customHeight="1">
      <c r="A79" s="64" t="s">
        <v>91</v>
      </c>
      <c r="B79" s="55"/>
      <c r="C79" s="55"/>
      <c r="D79" s="56"/>
      <c r="E79" s="98">
        <f t="shared" ref="E79:L79" si="18">COUNTIFS(E4:E69, "&gt;=50",E4:E69, "&lt;=55")</f>
        <v>0</v>
      </c>
      <c r="F79" s="98">
        <f t="shared" si="18"/>
        <v>11</v>
      </c>
      <c r="G79" s="98">
        <f t="shared" si="18"/>
        <v>13</v>
      </c>
      <c r="H79" s="98">
        <f t="shared" si="18"/>
        <v>13</v>
      </c>
      <c r="I79" s="98">
        <f t="shared" si="18"/>
        <v>11</v>
      </c>
      <c r="J79" s="98">
        <f t="shared" si="18"/>
        <v>21</v>
      </c>
      <c r="K79" s="98">
        <f t="shared" si="18"/>
        <v>7</v>
      </c>
      <c r="L79" s="98">
        <f t="shared" si="18"/>
        <v>7</v>
      </c>
      <c r="M79" s="71"/>
    </row>
    <row r="80" ht="15.75" customHeight="1">
      <c r="A80" s="64" t="s">
        <v>92</v>
      </c>
      <c r="B80" s="55"/>
      <c r="C80" s="55"/>
      <c r="D80" s="56"/>
      <c r="E80" s="98">
        <f t="shared" ref="E80:L80" si="19">COUNTIFS(E4:E69, "&gt;=56",E4:E69, "&lt;=60")</f>
        <v>0</v>
      </c>
      <c r="F80" s="98">
        <f t="shared" si="19"/>
        <v>5</v>
      </c>
      <c r="G80" s="98">
        <f t="shared" si="19"/>
        <v>3</v>
      </c>
      <c r="H80" s="98">
        <f t="shared" si="19"/>
        <v>4</v>
      </c>
      <c r="I80" s="98">
        <f t="shared" si="19"/>
        <v>3</v>
      </c>
      <c r="J80" s="98">
        <f t="shared" si="19"/>
        <v>5</v>
      </c>
      <c r="K80" s="98">
        <f t="shared" si="19"/>
        <v>6</v>
      </c>
      <c r="L80" s="98">
        <f t="shared" si="19"/>
        <v>1</v>
      </c>
      <c r="M80" s="71"/>
    </row>
    <row r="81" ht="15.75" customHeight="1">
      <c r="A81" s="64" t="s">
        <v>93</v>
      </c>
      <c r="B81" s="55"/>
      <c r="C81" s="55"/>
      <c r="D81" s="56"/>
      <c r="E81" s="98">
        <f t="shared" ref="E81:L81" si="20">COUNTIFS(E4:E69, "&gt;=61",E4:E69, "&lt;=70")</f>
        <v>0</v>
      </c>
      <c r="F81" s="98">
        <f t="shared" si="20"/>
        <v>11</v>
      </c>
      <c r="G81" s="98">
        <f t="shared" si="20"/>
        <v>7</v>
      </c>
      <c r="H81" s="98">
        <f t="shared" si="20"/>
        <v>7</v>
      </c>
      <c r="I81" s="98">
        <f t="shared" si="20"/>
        <v>10</v>
      </c>
      <c r="J81" s="98">
        <f t="shared" si="20"/>
        <v>1</v>
      </c>
      <c r="K81" s="98">
        <f t="shared" si="20"/>
        <v>11</v>
      </c>
      <c r="L81" s="98">
        <f t="shared" si="20"/>
        <v>0</v>
      </c>
      <c r="M81" s="71"/>
    </row>
    <row r="82" ht="15.75" customHeight="1">
      <c r="A82" s="64" t="s">
        <v>94</v>
      </c>
      <c r="B82" s="55"/>
      <c r="C82" s="55"/>
      <c r="D82" s="56"/>
      <c r="E82" s="98">
        <f t="shared" ref="E82:L82" si="21">COUNTIFS(E4:E69, "&gt;=71",E4:E69, "&lt;=80")</f>
        <v>0</v>
      </c>
      <c r="F82" s="98">
        <f t="shared" si="21"/>
        <v>6</v>
      </c>
      <c r="G82" s="98">
        <f t="shared" si="21"/>
        <v>6</v>
      </c>
      <c r="H82" s="98">
        <f t="shared" si="21"/>
        <v>8</v>
      </c>
      <c r="I82" s="98">
        <f t="shared" si="21"/>
        <v>9</v>
      </c>
      <c r="J82" s="98">
        <f t="shared" si="21"/>
        <v>0</v>
      </c>
      <c r="K82" s="98">
        <f t="shared" si="21"/>
        <v>13</v>
      </c>
      <c r="L82" s="98">
        <f t="shared" si="21"/>
        <v>0</v>
      </c>
      <c r="M82" s="71"/>
    </row>
    <row r="83" ht="15.75" customHeight="1">
      <c r="A83" s="64" t="s">
        <v>95</v>
      </c>
      <c r="B83" s="55"/>
      <c r="C83" s="55"/>
      <c r="D83" s="56"/>
      <c r="E83" s="98">
        <f t="shared" ref="E83:L83" si="22">COUNTIFS(E4:E69, "&gt;=81",E4:E69, "&lt;=90")</f>
        <v>0</v>
      </c>
      <c r="F83" s="98">
        <f t="shared" si="22"/>
        <v>3</v>
      </c>
      <c r="G83" s="98">
        <f t="shared" si="22"/>
        <v>2</v>
      </c>
      <c r="H83" s="98">
        <f t="shared" si="22"/>
        <v>1</v>
      </c>
      <c r="I83" s="98">
        <f t="shared" si="22"/>
        <v>12</v>
      </c>
      <c r="J83" s="98">
        <f t="shared" si="22"/>
        <v>0</v>
      </c>
      <c r="K83" s="98">
        <f t="shared" si="22"/>
        <v>6</v>
      </c>
      <c r="L83" s="98">
        <f t="shared" si="22"/>
        <v>0</v>
      </c>
      <c r="M83" s="71"/>
    </row>
    <row r="84" ht="15.75" customHeight="1">
      <c r="A84" s="64" t="s">
        <v>96</v>
      </c>
      <c r="B84" s="55"/>
      <c r="C84" s="55"/>
      <c r="D84" s="56"/>
      <c r="E84" s="167">
        <f t="shared" ref="E84:L84" si="23">COUNTIFS(E4:E69, "&gt;=91",E4:E69, "&lt;=100")</f>
        <v>0</v>
      </c>
      <c r="F84" s="167">
        <f t="shared" si="23"/>
        <v>0</v>
      </c>
      <c r="G84" s="167">
        <f t="shared" si="23"/>
        <v>0</v>
      </c>
      <c r="H84" s="167">
        <f t="shared" si="23"/>
        <v>0</v>
      </c>
      <c r="I84" s="167">
        <f t="shared" si="23"/>
        <v>0</v>
      </c>
      <c r="J84" s="167">
        <f t="shared" si="23"/>
        <v>0</v>
      </c>
      <c r="K84" s="167">
        <f t="shared" si="23"/>
        <v>2</v>
      </c>
      <c r="L84" s="167">
        <f t="shared" si="23"/>
        <v>0</v>
      </c>
      <c r="M84" s="71"/>
    </row>
    <row r="85" ht="15.75" customHeight="1">
      <c r="A85" s="168"/>
      <c r="B85" s="168"/>
      <c r="C85" s="168"/>
      <c r="D85" s="168"/>
      <c r="E85" s="168"/>
      <c r="F85" s="168"/>
      <c r="G85" s="168"/>
      <c r="H85" s="169"/>
      <c r="I85" s="168"/>
      <c r="J85" s="169"/>
      <c r="K85" s="169"/>
      <c r="L85" s="169"/>
      <c r="M85" s="71"/>
    </row>
    <row r="86" ht="15.75" customHeight="1">
      <c r="A86" s="168"/>
      <c r="B86" s="168"/>
      <c r="C86" s="168"/>
      <c r="D86" s="168"/>
      <c r="E86" s="168"/>
      <c r="F86" s="168"/>
      <c r="G86" s="168"/>
      <c r="H86" s="169"/>
      <c r="I86" s="168"/>
      <c r="J86" s="169"/>
      <c r="K86" s="169"/>
      <c r="L86" s="169"/>
      <c r="M86" s="71"/>
    </row>
    <row r="87" ht="15.75" customHeight="1">
      <c r="A87" s="168"/>
      <c r="B87" s="168"/>
      <c r="C87" s="168"/>
      <c r="D87" s="168"/>
      <c r="E87" s="168"/>
      <c r="F87" s="168"/>
      <c r="G87" s="168"/>
      <c r="H87" s="169"/>
      <c r="I87" s="168"/>
      <c r="J87" s="169"/>
      <c r="K87" s="169"/>
      <c r="L87" s="169"/>
      <c r="M87" s="71"/>
    </row>
    <row r="88" ht="15.75" customHeight="1">
      <c r="A88" s="168"/>
      <c r="B88" s="168"/>
      <c r="C88" s="168"/>
      <c r="D88" s="168"/>
      <c r="E88" s="168"/>
      <c r="F88" s="168"/>
      <c r="G88" s="168"/>
      <c r="H88" s="169"/>
      <c r="I88" s="168"/>
      <c r="J88" s="169"/>
      <c r="K88" s="169"/>
      <c r="L88" s="169"/>
      <c r="M88" s="71"/>
    </row>
    <row r="89" ht="15.75" customHeight="1">
      <c r="A89" s="168"/>
      <c r="B89" s="168"/>
      <c r="C89" s="168"/>
      <c r="D89" s="168"/>
      <c r="E89" s="168"/>
      <c r="F89" s="168"/>
      <c r="G89" s="168"/>
      <c r="H89" s="169"/>
      <c r="I89" s="168"/>
      <c r="J89" s="169"/>
      <c r="K89" s="169"/>
      <c r="L89" s="169"/>
      <c r="M89" s="71"/>
    </row>
    <row r="90" ht="15.75" customHeight="1">
      <c r="A90" s="168"/>
      <c r="B90" s="168"/>
      <c r="C90" s="168"/>
      <c r="D90" s="168"/>
      <c r="E90" s="168">
        <f>SUM(E77:E84)</f>
        <v>0</v>
      </c>
      <c r="F90" s="168"/>
      <c r="G90" s="168"/>
      <c r="H90" s="169"/>
      <c r="I90" s="168"/>
      <c r="J90" s="169"/>
      <c r="K90" s="169"/>
      <c r="L90" s="169"/>
      <c r="M90" s="71"/>
    </row>
    <row r="91" ht="15.75" customHeight="1">
      <c r="A91" s="168"/>
      <c r="B91" s="168"/>
      <c r="C91" s="168"/>
      <c r="D91" s="168"/>
      <c r="E91" s="168"/>
      <c r="F91" s="168"/>
      <c r="G91" s="168"/>
      <c r="H91" s="169"/>
      <c r="I91" s="168"/>
      <c r="J91" s="169"/>
      <c r="K91" s="169"/>
      <c r="L91" s="169"/>
      <c r="M91" s="71"/>
    </row>
    <row r="92" ht="15.75" customHeight="1">
      <c r="A92" s="168"/>
      <c r="B92" s="168"/>
      <c r="C92" s="168"/>
      <c r="D92" s="168"/>
      <c r="E92" s="168"/>
      <c r="F92" s="168"/>
      <c r="G92" s="168"/>
      <c r="H92" s="169"/>
      <c r="I92" s="168"/>
      <c r="J92" s="169"/>
      <c r="K92" s="169"/>
      <c r="L92" s="169"/>
      <c r="M92" s="71"/>
    </row>
    <row r="93" ht="15.75" customHeight="1">
      <c r="A93" s="168"/>
      <c r="B93" s="168"/>
      <c r="C93" s="168"/>
      <c r="D93" s="168"/>
      <c r="E93" s="168"/>
      <c r="F93" s="168"/>
      <c r="G93" s="168"/>
      <c r="H93" s="169"/>
      <c r="I93" s="168"/>
      <c r="J93" s="169"/>
      <c r="K93" s="169"/>
      <c r="L93" s="169"/>
      <c r="M93" s="71"/>
    </row>
    <row r="94" ht="15.75" customHeight="1">
      <c r="A94" s="168"/>
      <c r="B94" s="168"/>
      <c r="C94" s="168"/>
      <c r="D94" s="168"/>
      <c r="E94" s="168"/>
      <c r="F94" s="168"/>
      <c r="G94" s="168"/>
      <c r="H94" s="169"/>
      <c r="I94" s="168"/>
      <c r="J94" s="169"/>
      <c r="K94" s="169"/>
      <c r="L94" s="169"/>
      <c r="M94" s="71"/>
    </row>
    <row r="95" ht="15.75" customHeight="1">
      <c r="A95" s="168"/>
      <c r="B95" s="168"/>
      <c r="C95" s="168"/>
      <c r="D95" s="168"/>
      <c r="E95" s="168"/>
      <c r="F95" s="168"/>
      <c r="G95" s="168"/>
      <c r="H95" s="169"/>
      <c r="I95" s="168"/>
      <c r="J95" s="169"/>
      <c r="K95" s="169"/>
      <c r="L95" s="169"/>
      <c r="M95" s="71"/>
    </row>
    <row r="96" ht="15.75" customHeight="1">
      <c r="A96" s="168"/>
      <c r="B96" s="168"/>
      <c r="C96" s="168"/>
      <c r="D96" s="168"/>
      <c r="E96" s="168"/>
      <c r="F96" s="168"/>
      <c r="G96" s="168"/>
      <c r="H96" s="169"/>
      <c r="I96" s="168"/>
      <c r="J96" s="169"/>
      <c r="K96" s="169"/>
      <c r="L96" s="169"/>
      <c r="M96" s="71"/>
    </row>
    <row r="97" ht="15.75" customHeight="1">
      <c r="A97" s="168"/>
      <c r="B97" s="168"/>
      <c r="C97" s="168"/>
      <c r="D97" s="168"/>
      <c r="E97" s="168"/>
      <c r="F97" s="168"/>
      <c r="G97" s="168"/>
      <c r="H97" s="169"/>
      <c r="I97" s="168"/>
      <c r="J97" s="169"/>
      <c r="K97" s="169"/>
      <c r="L97" s="169"/>
      <c r="M97" s="71"/>
    </row>
    <row r="98" ht="15.75" customHeight="1">
      <c r="A98" s="168"/>
      <c r="B98" s="168"/>
      <c r="C98" s="168"/>
      <c r="D98" s="168"/>
      <c r="E98" s="168"/>
      <c r="F98" s="168"/>
      <c r="G98" s="168"/>
      <c r="H98" s="169"/>
      <c r="I98" s="168"/>
      <c r="J98" s="169"/>
      <c r="K98" s="169"/>
      <c r="L98" s="169"/>
      <c r="M98" s="71"/>
    </row>
    <row r="99" ht="15.75" customHeight="1">
      <c r="A99" s="168"/>
      <c r="B99" s="168"/>
      <c r="C99" s="168"/>
      <c r="D99" s="168"/>
      <c r="E99" s="168"/>
      <c r="F99" s="168"/>
      <c r="G99" s="168"/>
      <c r="H99" s="169"/>
      <c r="I99" s="168"/>
      <c r="J99" s="169"/>
      <c r="K99" s="169"/>
      <c r="L99" s="169"/>
      <c r="M99" s="71"/>
    </row>
    <row r="100" ht="15.75" customHeight="1">
      <c r="A100" s="168"/>
      <c r="B100" s="168"/>
      <c r="C100" s="168"/>
      <c r="D100" s="168"/>
      <c r="E100" s="168"/>
      <c r="F100" s="168"/>
      <c r="G100" s="168"/>
      <c r="H100" s="169"/>
      <c r="I100" s="168"/>
      <c r="J100" s="169"/>
      <c r="K100" s="169"/>
      <c r="L100" s="169"/>
      <c r="M100" s="71"/>
    </row>
    <row r="101" ht="15.75" customHeight="1">
      <c r="A101" s="168"/>
      <c r="B101" s="168"/>
      <c r="C101" s="168"/>
      <c r="D101" s="168"/>
      <c r="E101" s="168"/>
      <c r="F101" s="168"/>
      <c r="G101" s="168"/>
      <c r="H101" s="169"/>
      <c r="I101" s="168"/>
      <c r="J101" s="169"/>
      <c r="K101" s="169"/>
      <c r="L101" s="169"/>
      <c r="M101" s="71"/>
    </row>
    <row r="102" ht="15.75" customHeight="1">
      <c r="A102" s="168"/>
      <c r="B102" s="168"/>
      <c r="C102" s="168"/>
      <c r="D102" s="168"/>
      <c r="E102" s="168"/>
      <c r="F102" s="168"/>
      <c r="G102" s="168"/>
      <c r="H102" s="169"/>
      <c r="I102" s="168"/>
      <c r="J102" s="169"/>
      <c r="K102" s="169"/>
      <c r="L102" s="169"/>
      <c r="M102" s="71"/>
    </row>
    <row r="103" ht="15.75" customHeight="1">
      <c r="A103" s="168"/>
      <c r="B103" s="168"/>
      <c r="C103" s="168"/>
      <c r="D103" s="168"/>
      <c r="E103" s="168"/>
      <c r="F103" s="168"/>
      <c r="G103" s="168"/>
      <c r="H103" s="169"/>
      <c r="I103" s="168"/>
      <c r="J103" s="169"/>
      <c r="K103" s="169"/>
      <c r="L103" s="169"/>
      <c r="M103" s="71"/>
    </row>
    <row r="104" ht="15.75" customHeight="1">
      <c r="A104" s="168"/>
      <c r="B104" s="168"/>
      <c r="C104" s="168"/>
      <c r="D104" s="168"/>
      <c r="E104" s="168"/>
      <c r="F104" s="168"/>
      <c r="G104" s="168"/>
      <c r="H104" s="169"/>
      <c r="I104" s="168"/>
      <c r="J104" s="169"/>
      <c r="K104" s="169"/>
      <c r="L104" s="169"/>
      <c r="M104" s="71"/>
    </row>
    <row r="105" ht="15.75" customHeight="1">
      <c r="A105" s="168"/>
      <c r="B105" s="168"/>
      <c r="C105" s="168"/>
      <c r="D105" s="168"/>
      <c r="E105" s="168"/>
      <c r="F105" s="168"/>
      <c r="G105" s="168"/>
      <c r="H105" s="169"/>
      <c r="I105" s="168"/>
      <c r="J105" s="169"/>
      <c r="K105" s="169"/>
      <c r="L105" s="169"/>
      <c r="M105" s="71"/>
    </row>
    <row r="106" ht="15.75" customHeight="1">
      <c r="A106" s="168"/>
      <c r="B106" s="168"/>
      <c r="C106" s="168"/>
      <c r="D106" s="168"/>
      <c r="E106" s="168"/>
      <c r="F106" s="168"/>
      <c r="G106" s="168"/>
      <c r="H106" s="169"/>
      <c r="I106" s="168"/>
      <c r="J106" s="169"/>
      <c r="K106" s="169"/>
      <c r="L106" s="169"/>
      <c r="M106" s="71"/>
    </row>
    <row r="107" ht="15.75" customHeight="1">
      <c r="A107" s="168"/>
      <c r="B107" s="168"/>
      <c r="C107" s="168"/>
      <c r="D107" s="168"/>
      <c r="E107" s="168"/>
      <c r="F107" s="168"/>
      <c r="G107" s="168"/>
      <c r="H107" s="169"/>
      <c r="I107" s="168"/>
      <c r="J107" s="169"/>
      <c r="K107" s="169"/>
      <c r="L107" s="169"/>
      <c r="M107" s="71"/>
    </row>
    <row r="108" ht="15.75" customHeight="1">
      <c r="A108" s="168"/>
      <c r="B108" s="168"/>
      <c r="C108" s="168"/>
      <c r="D108" s="168"/>
      <c r="E108" s="168"/>
      <c r="F108" s="168"/>
      <c r="G108" s="168"/>
      <c r="H108" s="169"/>
      <c r="I108" s="168"/>
      <c r="J108" s="169"/>
      <c r="K108" s="169"/>
      <c r="L108" s="169"/>
      <c r="M108" s="71"/>
    </row>
    <row r="109" ht="15.75" customHeight="1">
      <c r="A109" s="168"/>
      <c r="B109" s="168"/>
      <c r="C109" s="168"/>
      <c r="D109" s="168"/>
      <c r="E109" s="168"/>
      <c r="F109" s="168"/>
      <c r="G109" s="168"/>
      <c r="H109" s="169"/>
      <c r="I109" s="168"/>
      <c r="J109" s="169"/>
      <c r="K109" s="169"/>
      <c r="L109" s="169"/>
      <c r="M109" s="71"/>
    </row>
    <row r="110" ht="15.75" customHeight="1">
      <c r="A110" s="168"/>
      <c r="B110" s="168"/>
      <c r="C110" s="168"/>
      <c r="D110" s="168"/>
      <c r="E110" s="168"/>
      <c r="F110" s="168"/>
      <c r="G110" s="168"/>
      <c r="H110" s="169"/>
      <c r="I110" s="168"/>
      <c r="J110" s="169"/>
      <c r="K110" s="169"/>
      <c r="L110" s="169"/>
      <c r="M110" s="71"/>
    </row>
    <row r="111" ht="15.75" customHeight="1">
      <c r="A111" s="168"/>
      <c r="B111" s="168"/>
      <c r="C111" s="168"/>
      <c r="D111" s="168"/>
      <c r="E111" s="168"/>
      <c r="F111" s="168"/>
      <c r="G111" s="168"/>
      <c r="H111" s="169"/>
      <c r="I111" s="168"/>
      <c r="J111" s="169"/>
      <c r="K111" s="169"/>
      <c r="L111" s="169"/>
      <c r="M111" s="71"/>
    </row>
    <row r="112" ht="15.75" customHeight="1">
      <c r="A112" s="168"/>
      <c r="B112" s="168"/>
      <c r="C112" s="168"/>
      <c r="D112" s="168"/>
      <c r="E112" s="168"/>
      <c r="F112" s="168"/>
      <c r="G112" s="168"/>
      <c r="H112" s="169"/>
      <c r="I112" s="168"/>
      <c r="J112" s="169"/>
      <c r="K112" s="169"/>
      <c r="L112" s="169"/>
      <c r="M112" s="71"/>
    </row>
    <row r="113" ht="15.75" customHeight="1">
      <c r="A113" s="168"/>
      <c r="B113" s="168"/>
      <c r="C113" s="168"/>
      <c r="D113" s="168"/>
      <c r="E113" s="168"/>
      <c r="F113" s="168"/>
      <c r="G113" s="168"/>
      <c r="H113" s="169"/>
      <c r="I113" s="168"/>
      <c r="J113" s="169"/>
      <c r="K113" s="169"/>
      <c r="L113" s="169"/>
      <c r="M113" s="71"/>
    </row>
    <row r="114" ht="15.75" customHeight="1">
      <c r="A114" s="168"/>
      <c r="B114" s="168"/>
      <c r="C114" s="168"/>
      <c r="D114" s="168"/>
      <c r="E114" s="168"/>
      <c r="F114" s="168"/>
      <c r="G114" s="168"/>
      <c r="H114" s="169"/>
      <c r="I114" s="168"/>
      <c r="J114" s="169"/>
      <c r="K114" s="169"/>
      <c r="L114" s="169"/>
      <c r="M114" s="71"/>
    </row>
    <row r="115" ht="15.75" customHeight="1">
      <c r="A115" s="168"/>
      <c r="B115" s="168"/>
      <c r="C115" s="168"/>
      <c r="D115" s="168"/>
      <c r="E115" s="168"/>
      <c r="F115" s="168"/>
      <c r="G115" s="168"/>
      <c r="H115" s="169"/>
      <c r="I115" s="168"/>
      <c r="J115" s="169"/>
      <c r="K115" s="169"/>
      <c r="L115" s="169"/>
      <c r="M115" s="71"/>
    </row>
    <row r="116" ht="15.75" customHeight="1">
      <c r="A116" s="168"/>
      <c r="B116" s="168"/>
      <c r="C116" s="168"/>
      <c r="D116" s="168"/>
      <c r="E116" s="168"/>
      <c r="F116" s="168"/>
      <c r="G116" s="168"/>
      <c r="H116" s="169"/>
      <c r="I116" s="168"/>
      <c r="J116" s="169"/>
      <c r="K116" s="169"/>
      <c r="L116" s="169"/>
      <c r="M116" s="71"/>
    </row>
    <row r="117" ht="15.75" customHeight="1">
      <c r="A117" s="168"/>
      <c r="B117" s="168"/>
      <c r="C117" s="168"/>
      <c r="D117" s="168"/>
      <c r="E117" s="168"/>
      <c r="F117" s="168"/>
      <c r="G117" s="168"/>
      <c r="H117" s="169"/>
      <c r="I117" s="168"/>
      <c r="J117" s="169"/>
      <c r="K117" s="169"/>
      <c r="L117" s="169"/>
      <c r="M117" s="71"/>
    </row>
    <row r="118" ht="15.75" customHeight="1">
      <c r="A118" s="168"/>
      <c r="B118" s="168"/>
      <c r="C118" s="168"/>
      <c r="D118" s="168"/>
      <c r="E118" s="168"/>
      <c r="F118" s="168"/>
      <c r="G118" s="168"/>
      <c r="H118" s="169"/>
      <c r="I118" s="168"/>
      <c r="J118" s="169"/>
      <c r="K118" s="169"/>
      <c r="L118" s="169"/>
      <c r="M118" s="71"/>
    </row>
    <row r="119" ht="15.75" customHeight="1">
      <c r="A119" s="168"/>
      <c r="B119" s="168"/>
      <c r="C119" s="168"/>
      <c r="D119" s="168"/>
      <c r="E119" s="168"/>
      <c r="F119" s="168"/>
      <c r="G119" s="168"/>
      <c r="H119" s="169"/>
      <c r="I119" s="168"/>
      <c r="J119" s="169"/>
      <c r="K119" s="169"/>
      <c r="L119" s="169"/>
      <c r="M119" s="71"/>
    </row>
    <row r="120" ht="15.75" customHeight="1">
      <c r="A120" s="168"/>
      <c r="B120" s="168"/>
      <c r="C120" s="168"/>
      <c r="D120" s="168"/>
      <c r="E120" s="168"/>
      <c r="F120" s="168"/>
      <c r="G120" s="168"/>
      <c r="H120" s="169"/>
      <c r="I120" s="168"/>
      <c r="J120" s="169"/>
      <c r="K120" s="169"/>
      <c r="L120" s="169"/>
      <c r="M120" s="71"/>
    </row>
    <row r="121" ht="15.75" customHeight="1">
      <c r="A121" s="168"/>
      <c r="B121" s="168"/>
      <c r="C121" s="168"/>
      <c r="D121" s="168"/>
      <c r="E121" s="168"/>
      <c r="F121" s="168"/>
      <c r="G121" s="168"/>
      <c r="H121" s="169"/>
      <c r="I121" s="168"/>
      <c r="J121" s="169"/>
      <c r="K121" s="169"/>
      <c r="L121" s="169"/>
      <c r="M121" s="71"/>
    </row>
    <row r="122" ht="15.75" customHeight="1">
      <c r="A122" s="168"/>
      <c r="B122" s="168"/>
      <c r="C122" s="168"/>
      <c r="D122" s="168"/>
      <c r="E122" s="168"/>
      <c r="F122" s="168"/>
      <c r="G122" s="168"/>
      <c r="H122" s="169"/>
      <c r="I122" s="168"/>
      <c r="J122" s="169"/>
      <c r="K122" s="169"/>
      <c r="L122" s="169"/>
      <c r="M122" s="71"/>
    </row>
    <row r="123" ht="15.75" customHeight="1">
      <c r="A123" s="168"/>
      <c r="B123" s="168"/>
      <c r="C123" s="168"/>
      <c r="D123" s="168"/>
      <c r="E123" s="168"/>
      <c r="F123" s="168"/>
      <c r="G123" s="168"/>
      <c r="H123" s="169"/>
      <c r="I123" s="168"/>
      <c r="J123" s="169"/>
      <c r="K123" s="169"/>
      <c r="L123" s="169"/>
      <c r="M123" s="71"/>
    </row>
    <row r="124" ht="15.75" customHeight="1">
      <c r="A124" s="168"/>
      <c r="B124" s="168"/>
      <c r="C124" s="168"/>
      <c r="D124" s="168"/>
      <c r="E124" s="168"/>
      <c r="F124" s="168"/>
      <c r="G124" s="168"/>
      <c r="H124" s="169"/>
      <c r="I124" s="168"/>
      <c r="J124" s="169"/>
      <c r="K124" s="169"/>
      <c r="L124" s="169"/>
      <c r="M124" s="71"/>
    </row>
    <row r="125" ht="15.75" customHeight="1">
      <c r="A125" s="168"/>
      <c r="B125" s="168"/>
      <c r="C125" s="168"/>
      <c r="D125" s="168"/>
      <c r="E125" s="168"/>
      <c r="F125" s="168"/>
      <c r="G125" s="168"/>
      <c r="H125" s="169"/>
      <c r="I125" s="168"/>
      <c r="J125" s="169"/>
      <c r="K125" s="169"/>
      <c r="L125" s="169"/>
      <c r="M125" s="71"/>
    </row>
    <row r="126" ht="15.75" customHeight="1">
      <c r="A126" s="168"/>
      <c r="B126" s="168"/>
      <c r="C126" s="168"/>
      <c r="D126" s="168"/>
      <c r="E126" s="168"/>
      <c r="F126" s="168"/>
      <c r="G126" s="168"/>
      <c r="H126" s="169"/>
      <c r="I126" s="168"/>
      <c r="J126" s="169"/>
      <c r="K126" s="169"/>
      <c r="L126" s="169"/>
      <c r="M126" s="71"/>
    </row>
    <row r="127" ht="15.75" customHeight="1">
      <c r="A127" s="168"/>
      <c r="B127" s="168"/>
      <c r="C127" s="168"/>
      <c r="D127" s="168"/>
      <c r="E127" s="168"/>
      <c r="F127" s="168"/>
      <c r="G127" s="168"/>
      <c r="H127" s="169"/>
      <c r="I127" s="168"/>
      <c r="J127" s="169"/>
      <c r="K127" s="169"/>
      <c r="L127" s="169"/>
      <c r="M127" s="71"/>
    </row>
    <row r="128" ht="15.75" customHeight="1">
      <c r="A128" s="168"/>
      <c r="B128" s="168"/>
      <c r="C128" s="168"/>
      <c r="D128" s="168"/>
      <c r="E128" s="168"/>
      <c r="F128" s="168"/>
      <c r="G128" s="168"/>
      <c r="H128" s="169"/>
      <c r="I128" s="168"/>
      <c r="J128" s="169"/>
      <c r="K128" s="169"/>
      <c r="L128" s="169"/>
      <c r="M128" s="71"/>
    </row>
    <row r="129" ht="15.75" customHeight="1">
      <c r="A129" s="168"/>
      <c r="B129" s="168"/>
      <c r="C129" s="168"/>
      <c r="D129" s="168"/>
      <c r="E129" s="168"/>
      <c r="F129" s="168"/>
      <c r="G129" s="168"/>
      <c r="H129" s="169"/>
      <c r="I129" s="168"/>
      <c r="J129" s="169"/>
      <c r="K129" s="169"/>
      <c r="L129" s="169"/>
      <c r="M129" s="71"/>
    </row>
    <row r="130" ht="15.75" customHeight="1">
      <c r="A130" s="168"/>
      <c r="B130" s="168"/>
      <c r="C130" s="168"/>
      <c r="D130" s="168"/>
      <c r="E130" s="168"/>
      <c r="F130" s="168"/>
      <c r="G130" s="168"/>
      <c r="H130" s="169"/>
      <c r="I130" s="168"/>
      <c r="J130" s="169"/>
      <c r="K130" s="169"/>
      <c r="L130" s="169"/>
      <c r="M130" s="71"/>
    </row>
    <row r="131" ht="15.75" customHeight="1">
      <c r="A131" s="168"/>
      <c r="B131" s="168"/>
      <c r="C131" s="168"/>
      <c r="D131" s="168"/>
      <c r="E131" s="168"/>
      <c r="F131" s="168"/>
      <c r="G131" s="168"/>
      <c r="H131" s="169"/>
      <c r="I131" s="168"/>
      <c r="J131" s="169"/>
      <c r="K131" s="169"/>
      <c r="L131" s="169"/>
      <c r="M131" s="71"/>
    </row>
    <row r="132" ht="15.75" customHeight="1">
      <c r="A132" s="168"/>
      <c r="B132" s="168"/>
      <c r="C132" s="168"/>
      <c r="D132" s="168"/>
      <c r="E132" s="168"/>
      <c r="F132" s="168"/>
      <c r="G132" s="168"/>
      <c r="H132" s="169"/>
      <c r="I132" s="168"/>
      <c r="J132" s="169"/>
      <c r="K132" s="169"/>
      <c r="L132" s="169"/>
      <c r="M132" s="71"/>
    </row>
    <row r="133" ht="15.75" customHeight="1">
      <c r="A133" s="168"/>
      <c r="B133" s="168"/>
      <c r="C133" s="168"/>
      <c r="D133" s="168"/>
      <c r="E133" s="168"/>
      <c r="F133" s="168"/>
      <c r="G133" s="168"/>
      <c r="H133" s="169"/>
      <c r="I133" s="168"/>
      <c r="J133" s="169"/>
      <c r="K133" s="169"/>
      <c r="L133" s="169"/>
      <c r="M133" s="71"/>
    </row>
    <row r="134" ht="15.75" customHeight="1">
      <c r="A134" s="168"/>
      <c r="B134" s="168"/>
      <c r="C134" s="168"/>
      <c r="D134" s="168"/>
      <c r="E134" s="168"/>
      <c r="F134" s="168"/>
      <c r="G134" s="168"/>
      <c r="H134" s="169"/>
      <c r="I134" s="168"/>
      <c r="J134" s="169"/>
      <c r="K134" s="169"/>
      <c r="L134" s="169"/>
      <c r="M134" s="71"/>
    </row>
    <row r="135" ht="15.75" customHeight="1">
      <c r="A135" s="168"/>
      <c r="B135" s="168"/>
      <c r="C135" s="168"/>
      <c r="D135" s="168"/>
      <c r="E135" s="168"/>
      <c r="F135" s="168"/>
      <c r="G135" s="168"/>
      <c r="H135" s="169"/>
      <c r="I135" s="168"/>
      <c r="J135" s="169"/>
      <c r="K135" s="169"/>
      <c r="L135" s="169"/>
      <c r="M135" s="71"/>
    </row>
    <row r="136" ht="15.75" customHeight="1">
      <c r="A136" s="168"/>
      <c r="B136" s="168"/>
      <c r="C136" s="168"/>
      <c r="D136" s="168"/>
      <c r="E136" s="168"/>
      <c r="F136" s="168"/>
      <c r="G136" s="168"/>
      <c r="H136" s="169"/>
      <c r="I136" s="168"/>
      <c r="J136" s="169"/>
      <c r="K136" s="169"/>
      <c r="L136" s="169"/>
      <c r="M136" s="71"/>
    </row>
    <row r="137" ht="15.75" customHeight="1">
      <c r="A137" s="168"/>
      <c r="B137" s="168"/>
      <c r="C137" s="168"/>
      <c r="D137" s="168"/>
      <c r="E137" s="168"/>
      <c r="F137" s="168"/>
      <c r="G137" s="168"/>
      <c r="H137" s="169"/>
      <c r="I137" s="168"/>
      <c r="J137" s="169"/>
      <c r="K137" s="169"/>
      <c r="L137" s="169"/>
      <c r="M137" s="71"/>
    </row>
    <row r="138" ht="15.75" customHeight="1">
      <c r="A138" s="168"/>
      <c r="B138" s="168"/>
      <c r="C138" s="168"/>
      <c r="D138" s="168"/>
      <c r="E138" s="168"/>
      <c r="F138" s="168"/>
      <c r="G138" s="168"/>
      <c r="H138" s="169"/>
      <c r="I138" s="168"/>
      <c r="J138" s="169"/>
      <c r="K138" s="169"/>
      <c r="L138" s="169"/>
      <c r="M138" s="71"/>
    </row>
    <row r="139" ht="15.75" customHeight="1">
      <c r="A139" s="168"/>
      <c r="B139" s="168"/>
      <c r="C139" s="168"/>
      <c r="D139" s="168"/>
      <c r="E139" s="168"/>
      <c r="F139" s="168"/>
      <c r="G139" s="168"/>
      <c r="H139" s="169"/>
      <c r="I139" s="168"/>
      <c r="J139" s="169"/>
      <c r="K139" s="169"/>
      <c r="L139" s="169"/>
      <c r="M139" s="71"/>
    </row>
    <row r="140" ht="15.75" customHeight="1">
      <c r="A140" s="168"/>
      <c r="B140" s="168"/>
      <c r="C140" s="168"/>
      <c r="D140" s="168"/>
      <c r="E140" s="168"/>
      <c r="F140" s="168"/>
      <c r="G140" s="168"/>
      <c r="H140" s="169"/>
      <c r="I140" s="168"/>
      <c r="J140" s="169"/>
      <c r="K140" s="169"/>
      <c r="L140" s="169"/>
      <c r="M140" s="71"/>
    </row>
    <row r="141" ht="15.75" customHeight="1">
      <c r="A141" s="168"/>
      <c r="B141" s="168"/>
      <c r="C141" s="168"/>
      <c r="D141" s="168"/>
      <c r="E141" s="168"/>
      <c r="F141" s="168"/>
      <c r="G141" s="168"/>
      <c r="H141" s="169"/>
      <c r="I141" s="168"/>
      <c r="J141" s="169"/>
      <c r="K141" s="169"/>
      <c r="L141" s="169"/>
      <c r="M141" s="71"/>
    </row>
    <row r="142" ht="15.75" customHeight="1">
      <c r="A142" s="168"/>
      <c r="B142" s="168"/>
      <c r="C142" s="168"/>
      <c r="D142" s="168"/>
      <c r="E142" s="168"/>
      <c r="F142" s="168"/>
      <c r="G142" s="168"/>
      <c r="H142" s="169"/>
      <c r="I142" s="168"/>
      <c r="J142" s="169"/>
      <c r="K142" s="169"/>
      <c r="L142" s="169"/>
      <c r="M142" s="71"/>
    </row>
    <row r="143" ht="15.75" customHeight="1">
      <c r="A143" s="168"/>
      <c r="B143" s="168"/>
      <c r="C143" s="168"/>
      <c r="D143" s="168"/>
      <c r="E143" s="168"/>
      <c r="F143" s="168"/>
      <c r="G143" s="168"/>
      <c r="H143" s="169"/>
      <c r="I143" s="168"/>
      <c r="J143" s="169"/>
      <c r="K143" s="169"/>
      <c r="L143" s="169"/>
      <c r="M143" s="71"/>
    </row>
    <row r="144" ht="15.75" customHeight="1">
      <c r="A144" s="168"/>
      <c r="B144" s="168"/>
      <c r="C144" s="168"/>
      <c r="D144" s="168"/>
      <c r="E144" s="168"/>
      <c r="F144" s="168"/>
      <c r="G144" s="168"/>
      <c r="H144" s="169"/>
      <c r="I144" s="168"/>
      <c r="J144" s="169"/>
      <c r="K144" s="169"/>
      <c r="L144" s="169"/>
      <c r="M144" s="71"/>
    </row>
    <row r="145" ht="15.75" customHeight="1">
      <c r="A145" s="168"/>
      <c r="B145" s="168"/>
      <c r="C145" s="168"/>
      <c r="D145" s="168"/>
      <c r="E145" s="168"/>
      <c r="F145" s="168"/>
      <c r="G145" s="168"/>
      <c r="H145" s="169"/>
      <c r="I145" s="168"/>
      <c r="J145" s="169"/>
      <c r="K145" s="169"/>
      <c r="L145" s="169"/>
      <c r="M145" s="71"/>
    </row>
    <row r="146" ht="15.75" customHeight="1">
      <c r="A146" s="168"/>
      <c r="B146" s="168"/>
      <c r="C146" s="168"/>
      <c r="D146" s="168"/>
      <c r="E146" s="168"/>
      <c r="F146" s="168"/>
      <c r="G146" s="168"/>
      <c r="H146" s="169"/>
      <c r="I146" s="168"/>
      <c r="J146" s="169"/>
      <c r="K146" s="169"/>
      <c r="L146" s="169"/>
      <c r="M146" s="71"/>
    </row>
    <row r="147" ht="15.75" customHeight="1">
      <c r="A147" s="168"/>
      <c r="B147" s="168"/>
      <c r="C147" s="168"/>
      <c r="D147" s="168"/>
      <c r="E147" s="168"/>
      <c r="F147" s="168"/>
      <c r="G147" s="168"/>
      <c r="H147" s="169"/>
      <c r="I147" s="168"/>
      <c r="J147" s="169"/>
      <c r="K147" s="169"/>
      <c r="L147" s="169"/>
      <c r="M147" s="71"/>
    </row>
    <row r="148" ht="15.75" customHeight="1">
      <c r="A148" s="168"/>
      <c r="B148" s="168"/>
      <c r="C148" s="168"/>
      <c r="D148" s="168"/>
      <c r="E148" s="168"/>
      <c r="F148" s="168"/>
      <c r="G148" s="168"/>
      <c r="H148" s="169"/>
      <c r="I148" s="168"/>
      <c r="J148" s="169"/>
      <c r="K148" s="169"/>
      <c r="L148" s="169"/>
      <c r="M148" s="71"/>
    </row>
    <row r="149" ht="15.75" customHeight="1">
      <c r="A149" s="168"/>
      <c r="B149" s="168"/>
      <c r="C149" s="168"/>
      <c r="D149" s="168"/>
      <c r="E149" s="168"/>
      <c r="F149" s="168"/>
      <c r="G149" s="168"/>
      <c r="H149" s="169"/>
      <c r="I149" s="168"/>
      <c r="J149" s="169"/>
      <c r="K149" s="169"/>
      <c r="L149" s="169"/>
      <c r="M149" s="71"/>
    </row>
    <row r="150" ht="15.75" customHeight="1">
      <c r="A150" s="168"/>
      <c r="B150" s="168"/>
      <c r="C150" s="168"/>
      <c r="D150" s="168"/>
      <c r="E150" s="168"/>
      <c r="F150" s="168"/>
      <c r="G150" s="168"/>
      <c r="H150" s="169"/>
      <c r="I150" s="168"/>
      <c r="J150" s="169"/>
      <c r="K150" s="169"/>
      <c r="L150" s="169"/>
      <c r="M150" s="71"/>
    </row>
    <row r="151" ht="15.75" customHeight="1">
      <c r="A151" s="168"/>
      <c r="B151" s="168"/>
      <c r="C151" s="168"/>
      <c r="D151" s="168"/>
      <c r="E151" s="168"/>
      <c r="F151" s="168"/>
      <c r="G151" s="168"/>
      <c r="H151" s="169"/>
      <c r="I151" s="168"/>
      <c r="J151" s="169"/>
      <c r="K151" s="169"/>
      <c r="L151" s="169"/>
      <c r="M151" s="71"/>
    </row>
    <row r="152" ht="15.75" customHeight="1">
      <c r="A152" s="168"/>
      <c r="B152" s="168"/>
      <c r="C152" s="168"/>
      <c r="D152" s="168"/>
      <c r="E152" s="168"/>
      <c r="F152" s="168"/>
      <c r="G152" s="168"/>
      <c r="H152" s="169"/>
      <c r="I152" s="168"/>
      <c r="J152" s="169"/>
      <c r="K152" s="169"/>
      <c r="L152" s="169"/>
      <c r="M152" s="71"/>
    </row>
    <row r="153" ht="15.75" customHeight="1">
      <c r="A153" s="168"/>
      <c r="B153" s="168"/>
      <c r="C153" s="168"/>
      <c r="D153" s="168"/>
      <c r="E153" s="168"/>
      <c r="F153" s="168"/>
      <c r="G153" s="168"/>
      <c r="H153" s="169"/>
      <c r="I153" s="168"/>
      <c r="J153" s="169"/>
      <c r="K153" s="169"/>
      <c r="L153" s="169"/>
      <c r="M153" s="71"/>
    </row>
    <row r="154" ht="15.75" customHeight="1">
      <c r="A154" s="168"/>
      <c r="B154" s="168"/>
      <c r="C154" s="168"/>
      <c r="D154" s="168"/>
      <c r="E154" s="168"/>
      <c r="F154" s="168"/>
      <c r="G154" s="168"/>
      <c r="H154" s="169"/>
      <c r="I154" s="168"/>
      <c r="J154" s="169"/>
      <c r="K154" s="169"/>
      <c r="L154" s="169"/>
      <c r="M154" s="71"/>
    </row>
    <row r="155" ht="15.75" customHeight="1">
      <c r="A155" s="168"/>
      <c r="B155" s="168"/>
      <c r="C155" s="168"/>
      <c r="D155" s="168"/>
      <c r="E155" s="168"/>
      <c r="F155" s="168"/>
      <c r="G155" s="168"/>
      <c r="H155" s="169"/>
      <c r="I155" s="168"/>
      <c r="J155" s="169"/>
      <c r="K155" s="169"/>
      <c r="L155" s="169"/>
      <c r="M155" s="71"/>
    </row>
    <row r="156" ht="15.75" customHeight="1">
      <c r="A156" s="168"/>
      <c r="B156" s="168"/>
      <c r="C156" s="168"/>
      <c r="D156" s="168"/>
      <c r="E156" s="168"/>
      <c r="F156" s="168"/>
      <c r="G156" s="168"/>
      <c r="H156" s="169"/>
      <c r="I156" s="168"/>
      <c r="J156" s="169"/>
      <c r="K156" s="169"/>
      <c r="L156" s="169"/>
      <c r="M156" s="71"/>
    </row>
    <row r="157" ht="15.75" customHeight="1">
      <c r="A157" s="168"/>
      <c r="B157" s="168"/>
      <c r="C157" s="168"/>
      <c r="D157" s="168"/>
      <c r="E157" s="168"/>
      <c r="F157" s="168"/>
      <c r="G157" s="168"/>
      <c r="H157" s="169"/>
      <c r="I157" s="168"/>
      <c r="J157" s="169"/>
      <c r="K157" s="169"/>
      <c r="L157" s="169"/>
      <c r="M157" s="71"/>
    </row>
    <row r="158" ht="15.75" customHeight="1">
      <c r="A158" s="168"/>
      <c r="B158" s="168"/>
      <c r="C158" s="168"/>
      <c r="D158" s="168"/>
      <c r="E158" s="168"/>
      <c r="F158" s="168"/>
      <c r="G158" s="168"/>
      <c r="H158" s="169"/>
      <c r="I158" s="168"/>
      <c r="J158" s="169"/>
      <c r="K158" s="169"/>
      <c r="L158" s="169"/>
      <c r="M158" s="71"/>
    </row>
    <row r="159" ht="15.75" customHeight="1">
      <c r="A159" s="168"/>
      <c r="B159" s="168"/>
      <c r="C159" s="168"/>
      <c r="D159" s="168"/>
      <c r="E159" s="168"/>
      <c r="F159" s="168"/>
      <c r="G159" s="168"/>
      <c r="H159" s="169"/>
      <c r="I159" s="168"/>
      <c r="J159" s="169"/>
      <c r="K159" s="169"/>
      <c r="L159" s="169"/>
      <c r="M159" s="71"/>
    </row>
    <row r="160" ht="15.75" customHeight="1">
      <c r="A160" s="168"/>
      <c r="B160" s="168"/>
      <c r="C160" s="168"/>
      <c r="D160" s="168"/>
      <c r="E160" s="168"/>
      <c r="F160" s="168"/>
      <c r="G160" s="168"/>
      <c r="H160" s="169"/>
      <c r="I160" s="168"/>
      <c r="J160" s="169"/>
      <c r="K160" s="169"/>
      <c r="L160" s="169"/>
      <c r="M160" s="71"/>
    </row>
    <row r="161" ht="15.75" customHeight="1">
      <c r="A161" s="168"/>
      <c r="B161" s="168"/>
      <c r="C161" s="168"/>
      <c r="D161" s="168"/>
      <c r="E161" s="168"/>
      <c r="F161" s="168"/>
      <c r="G161" s="168"/>
      <c r="H161" s="169"/>
      <c r="I161" s="168"/>
      <c r="J161" s="169"/>
      <c r="K161" s="169"/>
      <c r="L161" s="169"/>
      <c r="M161" s="71"/>
    </row>
    <row r="162" ht="15.75" customHeight="1">
      <c r="A162" s="168"/>
      <c r="B162" s="168"/>
      <c r="C162" s="168"/>
      <c r="D162" s="168"/>
      <c r="E162" s="168"/>
      <c r="F162" s="168"/>
      <c r="G162" s="168"/>
      <c r="H162" s="169"/>
      <c r="I162" s="168"/>
      <c r="J162" s="169"/>
      <c r="K162" s="169"/>
      <c r="L162" s="169"/>
      <c r="M162" s="71"/>
    </row>
    <row r="163" ht="15.75" customHeight="1">
      <c r="A163" s="168"/>
      <c r="B163" s="168"/>
      <c r="C163" s="168"/>
      <c r="D163" s="168"/>
      <c r="E163" s="168"/>
      <c r="F163" s="168"/>
      <c r="G163" s="168"/>
      <c r="H163" s="169"/>
      <c r="I163" s="168"/>
      <c r="J163" s="169"/>
      <c r="K163" s="169"/>
      <c r="L163" s="169"/>
      <c r="M163" s="71"/>
    </row>
    <row r="164" ht="15.75" customHeight="1">
      <c r="A164" s="168"/>
      <c r="B164" s="168"/>
      <c r="C164" s="168"/>
      <c r="D164" s="168"/>
      <c r="E164" s="168"/>
      <c r="F164" s="168"/>
      <c r="G164" s="168"/>
      <c r="H164" s="169"/>
      <c r="I164" s="168"/>
      <c r="J164" s="169"/>
      <c r="K164" s="169"/>
      <c r="L164" s="169"/>
      <c r="M164" s="71"/>
    </row>
    <row r="165" ht="15.75" customHeight="1">
      <c r="A165" s="168"/>
      <c r="B165" s="168"/>
      <c r="C165" s="168"/>
      <c r="D165" s="168"/>
      <c r="E165" s="168"/>
      <c r="F165" s="168"/>
      <c r="G165" s="168"/>
      <c r="H165" s="169"/>
      <c r="I165" s="168"/>
      <c r="J165" s="169"/>
      <c r="K165" s="169"/>
      <c r="L165" s="169"/>
      <c r="M165" s="71"/>
    </row>
    <row r="166" ht="15.75" customHeight="1">
      <c r="A166" s="168"/>
      <c r="B166" s="168"/>
      <c r="C166" s="168"/>
      <c r="D166" s="168"/>
      <c r="E166" s="168"/>
      <c r="F166" s="168"/>
      <c r="G166" s="168"/>
      <c r="H166" s="169"/>
      <c r="I166" s="168"/>
      <c r="J166" s="169"/>
      <c r="K166" s="169"/>
      <c r="L166" s="169"/>
      <c r="M166" s="71"/>
    </row>
    <row r="167" ht="15.75" customHeight="1">
      <c r="A167" s="168"/>
      <c r="B167" s="168"/>
      <c r="C167" s="168"/>
      <c r="D167" s="168"/>
      <c r="E167" s="168"/>
      <c r="F167" s="168"/>
      <c r="G167" s="168"/>
      <c r="H167" s="169"/>
      <c r="I167" s="168"/>
      <c r="J167" s="169"/>
      <c r="K167" s="169"/>
      <c r="L167" s="169"/>
      <c r="M167" s="71"/>
    </row>
    <row r="168" ht="15.75" customHeight="1">
      <c r="A168" s="168"/>
      <c r="B168" s="168"/>
      <c r="C168" s="168"/>
      <c r="D168" s="168"/>
      <c r="E168" s="168"/>
      <c r="F168" s="168"/>
      <c r="G168" s="168"/>
      <c r="H168" s="169"/>
      <c r="I168" s="168"/>
      <c r="J168" s="169"/>
      <c r="K168" s="169"/>
      <c r="L168" s="169"/>
      <c r="M168" s="71"/>
    </row>
    <row r="169" ht="15.75" customHeight="1">
      <c r="A169" s="168"/>
      <c r="B169" s="168"/>
      <c r="C169" s="168"/>
      <c r="D169" s="168"/>
      <c r="E169" s="168"/>
      <c r="F169" s="168"/>
      <c r="G169" s="168"/>
      <c r="H169" s="169"/>
      <c r="I169" s="168"/>
      <c r="J169" s="169"/>
      <c r="K169" s="169"/>
      <c r="L169" s="169"/>
      <c r="M169" s="71"/>
    </row>
    <row r="170" ht="15.75" customHeight="1">
      <c r="A170" s="168"/>
      <c r="B170" s="168"/>
      <c r="C170" s="168"/>
      <c r="D170" s="168"/>
      <c r="E170" s="168"/>
      <c r="F170" s="168"/>
      <c r="G170" s="168"/>
      <c r="H170" s="169"/>
      <c r="I170" s="168"/>
      <c r="J170" s="169"/>
      <c r="K170" s="169"/>
      <c r="L170" s="169"/>
      <c r="M170" s="71"/>
    </row>
    <row r="171" ht="15.75" customHeight="1">
      <c r="A171" s="168"/>
      <c r="B171" s="168"/>
      <c r="C171" s="168"/>
      <c r="D171" s="168"/>
      <c r="E171" s="168"/>
      <c r="F171" s="168"/>
      <c r="G171" s="168"/>
      <c r="H171" s="169"/>
      <c r="I171" s="168"/>
      <c r="J171" s="169"/>
      <c r="K171" s="169"/>
      <c r="L171" s="169"/>
      <c r="M171" s="71"/>
    </row>
    <row r="172" ht="15.75" customHeight="1">
      <c r="A172" s="168"/>
      <c r="B172" s="168"/>
      <c r="C172" s="168"/>
      <c r="D172" s="168"/>
      <c r="E172" s="168"/>
      <c r="F172" s="168"/>
      <c r="G172" s="168"/>
      <c r="H172" s="169"/>
      <c r="I172" s="168"/>
      <c r="J172" s="169"/>
      <c r="K172" s="169"/>
      <c r="L172" s="169"/>
      <c r="M172" s="71"/>
    </row>
    <row r="173" ht="15.75" customHeight="1">
      <c r="A173" s="168"/>
      <c r="B173" s="168"/>
      <c r="C173" s="168"/>
      <c r="D173" s="168"/>
      <c r="E173" s="168"/>
      <c r="F173" s="168"/>
      <c r="G173" s="168"/>
      <c r="H173" s="169"/>
      <c r="I173" s="168"/>
      <c r="J173" s="169"/>
      <c r="K173" s="169"/>
      <c r="L173" s="169"/>
      <c r="M173" s="71"/>
    </row>
    <row r="174" ht="15.75" customHeight="1">
      <c r="A174" s="168"/>
      <c r="B174" s="168"/>
      <c r="C174" s="168"/>
      <c r="D174" s="168"/>
      <c r="E174" s="168"/>
      <c r="F174" s="168"/>
      <c r="G174" s="168"/>
      <c r="H174" s="169"/>
      <c r="I174" s="168"/>
      <c r="J174" s="169"/>
      <c r="K174" s="169"/>
      <c r="L174" s="169"/>
      <c r="M174" s="71"/>
    </row>
    <row r="175" ht="15.75" customHeight="1">
      <c r="A175" s="168"/>
      <c r="B175" s="168"/>
      <c r="C175" s="168"/>
      <c r="D175" s="168"/>
      <c r="E175" s="168"/>
      <c r="F175" s="168"/>
      <c r="G175" s="168"/>
      <c r="H175" s="169"/>
      <c r="I175" s="168"/>
      <c r="J175" s="169"/>
      <c r="K175" s="169"/>
      <c r="L175" s="169"/>
      <c r="M175" s="71"/>
    </row>
    <row r="176" ht="15.75" customHeight="1">
      <c r="A176" s="168"/>
      <c r="B176" s="168"/>
      <c r="C176" s="168"/>
      <c r="D176" s="168"/>
      <c r="E176" s="168"/>
      <c r="F176" s="168"/>
      <c r="G176" s="168"/>
      <c r="H176" s="169"/>
      <c r="I176" s="168"/>
      <c r="J176" s="169"/>
      <c r="K176" s="169"/>
      <c r="L176" s="169"/>
      <c r="M176" s="71"/>
    </row>
    <row r="177" ht="15.75" customHeight="1">
      <c r="A177" s="168"/>
      <c r="B177" s="168"/>
      <c r="C177" s="168"/>
      <c r="D177" s="168"/>
      <c r="E177" s="168"/>
      <c r="F177" s="168"/>
      <c r="G177" s="168"/>
      <c r="H177" s="169"/>
      <c r="I177" s="168"/>
      <c r="J177" s="169"/>
      <c r="K177" s="169"/>
      <c r="L177" s="169"/>
      <c r="M177" s="71"/>
    </row>
    <row r="178" ht="15.75" customHeight="1">
      <c r="A178" s="168"/>
      <c r="B178" s="168"/>
      <c r="C178" s="168"/>
      <c r="D178" s="168"/>
      <c r="E178" s="168"/>
      <c r="F178" s="168"/>
      <c r="G178" s="168"/>
      <c r="H178" s="169"/>
      <c r="I178" s="168"/>
      <c r="J178" s="169"/>
      <c r="K178" s="169"/>
      <c r="L178" s="169"/>
      <c r="M178" s="71"/>
    </row>
    <row r="179" ht="15.75" customHeight="1">
      <c r="A179" s="168"/>
      <c r="B179" s="168"/>
      <c r="C179" s="168"/>
      <c r="D179" s="168"/>
      <c r="E179" s="168"/>
      <c r="F179" s="168"/>
      <c r="G179" s="168"/>
      <c r="H179" s="169"/>
      <c r="I179" s="168"/>
      <c r="J179" s="169"/>
      <c r="K179" s="169"/>
      <c r="L179" s="169"/>
      <c r="M179" s="71"/>
    </row>
    <row r="180" ht="15.75" customHeight="1">
      <c r="A180" s="168"/>
      <c r="B180" s="168"/>
      <c r="C180" s="168"/>
      <c r="D180" s="168"/>
      <c r="E180" s="168"/>
      <c r="F180" s="168"/>
      <c r="G180" s="168"/>
      <c r="H180" s="169"/>
      <c r="I180" s="168"/>
      <c r="J180" s="169"/>
      <c r="K180" s="169"/>
      <c r="L180" s="169"/>
      <c r="M180" s="71"/>
    </row>
    <row r="181" ht="15.75" customHeight="1">
      <c r="A181" s="168"/>
      <c r="B181" s="168"/>
      <c r="C181" s="168"/>
      <c r="D181" s="168"/>
      <c r="E181" s="168"/>
      <c r="F181" s="168"/>
      <c r="G181" s="168"/>
      <c r="H181" s="169"/>
      <c r="I181" s="168"/>
      <c r="J181" s="169"/>
      <c r="K181" s="169"/>
      <c r="L181" s="169"/>
      <c r="M181" s="71"/>
    </row>
    <row r="182" ht="15.75" customHeight="1">
      <c r="A182" s="168"/>
      <c r="B182" s="168"/>
      <c r="C182" s="168"/>
      <c r="D182" s="168"/>
      <c r="E182" s="168"/>
      <c r="F182" s="168"/>
      <c r="G182" s="168"/>
      <c r="H182" s="169"/>
      <c r="I182" s="168"/>
      <c r="J182" s="169"/>
      <c r="K182" s="169"/>
      <c r="L182" s="169"/>
      <c r="M182" s="71"/>
    </row>
    <row r="183" ht="15.75" customHeight="1">
      <c r="A183" s="168"/>
      <c r="B183" s="168"/>
      <c r="C183" s="168"/>
      <c r="D183" s="168"/>
      <c r="E183" s="168"/>
      <c r="F183" s="168"/>
      <c r="G183" s="168"/>
      <c r="H183" s="169"/>
      <c r="I183" s="168"/>
      <c r="J183" s="169"/>
      <c r="K183" s="169"/>
      <c r="L183" s="169"/>
      <c r="M183" s="71"/>
    </row>
    <row r="184" ht="15.75" customHeight="1">
      <c r="A184" s="168"/>
      <c r="B184" s="168"/>
      <c r="C184" s="168"/>
      <c r="D184" s="168"/>
      <c r="E184" s="168"/>
      <c r="F184" s="168"/>
      <c r="G184" s="168"/>
      <c r="H184" s="169"/>
      <c r="I184" s="168"/>
      <c r="J184" s="169"/>
      <c r="K184" s="169"/>
      <c r="L184" s="169"/>
      <c r="M184" s="71"/>
    </row>
    <row r="185" ht="15.75" customHeight="1">
      <c r="A185" s="168"/>
      <c r="B185" s="168"/>
      <c r="C185" s="168"/>
      <c r="D185" s="168"/>
      <c r="E185" s="168"/>
      <c r="F185" s="168"/>
      <c r="G185" s="168"/>
      <c r="H185" s="169"/>
      <c r="I185" s="168"/>
      <c r="J185" s="169"/>
      <c r="K185" s="169"/>
      <c r="L185" s="169"/>
      <c r="M185" s="71"/>
    </row>
    <row r="186" ht="15.75" customHeight="1">
      <c r="A186" s="168"/>
      <c r="B186" s="168"/>
      <c r="C186" s="168"/>
      <c r="D186" s="168"/>
      <c r="E186" s="168"/>
      <c r="F186" s="168"/>
      <c r="G186" s="168"/>
      <c r="H186" s="169"/>
      <c r="I186" s="168"/>
      <c r="J186" s="169"/>
      <c r="K186" s="169"/>
      <c r="L186" s="169"/>
      <c r="M186" s="71"/>
    </row>
    <row r="187" ht="15.75" customHeight="1">
      <c r="A187" s="168"/>
      <c r="B187" s="168"/>
      <c r="C187" s="168"/>
      <c r="D187" s="168"/>
      <c r="E187" s="168"/>
      <c r="F187" s="168"/>
      <c r="G187" s="168"/>
      <c r="H187" s="169"/>
      <c r="I187" s="168"/>
      <c r="J187" s="169"/>
      <c r="K187" s="169"/>
      <c r="L187" s="169"/>
      <c r="M187" s="71"/>
    </row>
    <row r="188" ht="15.75" customHeight="1">
      <c r="A188" s="168"/>
      <c r="B188" s="168"/>
      <c r="C188" s="168"/>
      <c r="D188" s="168"/>
      <c r="E188" s="168"/>
      <c r="F188" s="168"/>
      <c r="G188" s="168"/>
      <c r="H188" s="169"/>
      <c r="I188" s="168"/>
      <c r="J188" s="169"/>
      <c r="K188" s="169"/>
      <c r="L188" s="169"/>
      <c r="M188" s="71"/>
    </row>
    <row r="189" ht="15.75" customHeight="1">
      <c r="A189" s="168"/>
      <c r="B189" s="168"/>
      <c r="C189" s="168"/>
      <c r="D189" s="168"/>
      <c r="E189" s="168"/>
      <c r="F189" s="168"/>
      <c r="G189" s="168"/>
      <c r="H189" s="169"/>
      <c r="I189" s="168"/>
      <c r="J189" s="169"/>
      <c r="K189" s="169"/>
      <c r="L189" s="169"/>
      <c r="M189" s="71"/>
    </row>
    <row r="190" ht="15.75" customHeight="1">
      <c r="A190" s="168"/>
      <c r="B190" s="168"/>
      <c r="C190" s="168"/>
      <c r="D190" s="168"/>
      <c r="E190" s="168"/>
      <c r="F190" s="168"/>
      <c r="G190" s="168"/>
      <c r="H190" s="169"/>
      <c r="I190" s="168"/>
      <c r="J190" s="169"/>
      <c r="K190" s="169"/>
      <c r="L190" s="169"/>
      <c r="M190" s="71"/>
    </row>
    <row r="191" ht="15.75" customHeight="1">
      <c r="A191" s="168"/>
      <c r="B191" s="168"/>
      <c r="C191" s="168"/>
      <c r="D191" s="168"/>
      <c r="E191" s="168"/>
      <c r="F191" s="168"/>
      <c r="G191" s="168"/>
      <c r="H191" s="169"/>
      <c r="I191" s="168"/>
      <c r="J191" s="169"/>
      <c r="K191" s="169"/>
      <c r="L191" s="169"/>
      <c r="M191" s="71"/>
    </row>
    <row r="192" ht="15.75" customHeight="1">
      <c r="A192" s="168"/>
      <c r="B192" s="168"/>
      <c r="C192" s="168"/>
      <c r="D192" s="168"/>
      <c r="E192" s="168"/>
      <c r="F192" s="168"/>
      <c r="G192" s="168"/>
      <c r="H192" s="169"/>
      <c r="I192" s="168"/>
      <c r="J192" s="169"/>
      <c r="K192" s="169"/>
      <c r="L192" s="169"/>
      <c r="M192" s="71"/>
    </row>
    <row r="193" ht="15.75" customHeight="1">
      <c r="A193" s="168"/>
      <c r="B193" s="168"/>
      <c r="C193" s="168"/>
      <c r="D193" s="168"/>
      <c r="E193" s="168"/>
      <c r="F193" s="168"/>
      <c r="G193" s="168"/>
      <c r="H193" s="169"/>
      <c r="I193" s="168"/>
      <c r="J193" s="169"/>
      <c r="K193" s="169"/>
      <c r="L193" s="169"/>
      <c r="M193" s="71"/>
    </row>
    <row r="194" ht="15.75" customHeight="1">
      <c r="A194" s="168"/>
      <c r="B194" s="168"/>
      <c r="C194" s="168"/>
      <c r="D194" s="168"/>
      <c r="E194" s="168"/>
      <c r="F194" s="168"/>
      <c r="G194" s="168"/>
      <c r="H194" s="169"/>
      <c r="I194" s="168"/>
      <c r="J194" s="169"/>
      <c r="K194" s="169"/>
      <c r="L194" s="169"/>
      <c r="M194" s="71"/>
    </row>
    <row r="195" ht="15.75" customHeight="1">
      <c r="A195" s="168"/>
      <c r="B195" s="168"/>
      <c r="C195" s="168"/>
      <c r="D195" s="168"/>
      <c r="E195" s="168"/>
      <c r="F195" s="168"/>
      <c r="G195" s="168"/>
      <c r="H195" s="169"/>
      <c r="I195" s="168"/>
      <c r="J195" s="169"/>
      <c r="K195" s="169"/>
      <c r="L195" s="169"/>
      <c r="M195" s="71"/>
    </row>
    <row r="196" ht="15.75" customHeight="1">
      <c r="A196" s="168"/>
      <c r="B196" s="168"/>
      <c r="C196" s="168"/>
      <c r="D196" s="168"/>
      <c r="E196" s="168"/>
      <c r="F196" s="168"/>
      <c r="G196" s="168"/>
      <c r="H196" s="169"/>
      <c r="I196" s="168"/>
      <c r="J196" s="169"/>
      <c r="K196" s="169"/>
      <c r="L196" s="169"/>
      <c r="M196" s="71"/>
    </row>
    <row r="197" ht="15.75" customHeight="1">
      <c r="A197" s="168"/>
      <c r="B197" s="168"/>
      <c r="C197" s="168"/>
      <c r="D197" s="168"/>
      <c r="E197" s="168"/>
      <c r="F197" s="168"/>
      <c r="G197" s="168"/>
      <c r="H197" s="169"/>
      <c r="I197" s="168"/>
      <c r="J197" s="169"/>
      <c r="K197" s="169"/>
      <c r="L197" s="169"/>
      <c r="M197" s="71"/>
    </row>
    <row r="198" ht="15.75" customHeight="1">
      <c r="A198" s="168"/>
      <c r="B198" s="168"/>
      <c r="C198" s="168"/>
      <c r="D198" s="168"/>
      <c r="E198" s="168"/>
      <c r="F198" s="168"/>
      <c r="G198" s="168"/>
      <c r="H198" s="169"/>
      <c r="I198" s="168"/>
      <c r="J198" s="169"/>
      <c r="K198" s="169"/>
      <c r="L198" s="169"/>
      <c r="M198" s="71"/>
    </row>
    <row r="199" ht="15.75" customHeight="1">
      <c r="A199" s="168"/>
      <c r="B199" s="168"/>
      <c r="C199" s="168"/>
      <c r="D199" s="168"/>
      <c r="E199" s="168"/>
      <c r="F199" s="168"/>
      <c r="G199" s="168"/>
      <c r="H199" s="169"/>
      <c r="I199" s="168"/>
      <c r="J199" s="169"/>
      <c r="K199" s="169"/>
      <c r="L199" s="169"/>
      <c r="M199" s="71"/>
    </row>
    <row r="200" ht="15.75" customHeight="1">
      <c r="A200" s="168"/>
      <c r="B200" s="168"/>
      <c r="C200" s="168"/>
      <c r="D200" s="168"/>
      <c r="E200" s="168"/>
      <c r="F200" s="168"/>
      <c r="G200" s="168"/>
      <c r="H200" s="169"/>
      <c r="I200" s="168"/>
      <c r="J200" s="169"/>
      <c r="K200" s="169"/>
      <c r="L200" s="169"/>
      <c r="M200" s="71"/>
    </row>
    <row r="201" ht="15.75" customHeight="1">
      <c r="A201" s="168"/>
      <c r="B201" s="168"/>
      <c r="C201" s="168"/>
      <c r="D201" s="168"/>
      <c r="E201" s="168"/>
      <c r="F201" s="168"/>
      <c r="G201" s="168"/>
      <c r="H201" s="169"/>
      <c r="I201" s="168"/>
      <c r="J201" s="169"/>
      <c r="K201" s="169"/>
      <c r="L201" s="169"/>
      <c r="M201" s="71"/>
    </row>
    <row r="202" ht="15.75" customHeight="1">
      <c r="A202" s="168"/>
      <c r="B202" s="168"/>
      <c r="C202" s="168"/>
      <c r="D202" s="168"/>
      <c r="E202" s="168"/>
      <c r="F202" s="168"/>
      <c r="G202" s="168"/>
      <c r="H202" s="169"/>
      <c r="I202" s="168"/>
      <c r="J202" s="169"/>
      <c r="K202" s="169"/>
      <c r="L202" s="169"/>
      <c r="M202" s="71"/>
    </row>
    <row r="203" ht="15.75" customHeight="1">
      <c r="A203" s="168"/>
      <c r="B203" s="168"/>
      <c r="C203" s="168"/>
      <c r="D203" s="168"/>
      <c r="E203" s="168"/>
      <c r="F203" s="168"/>
      <c r="G203" s="168"/>
      <c r="H203" s="169"/>
      <c r="I203" s="168"/>
      <c r="J203" s="169"/>
      <c r="K203" s="169"/>
      <c r="L203" s="169"/>
      <c r="M203" s="71"/>
    </row>
    <row r="204" ht="15.75" customHeight="1">
      <c r="A204" s="168"/>
      <c r="B204" s="168"/>
      <c r="C204" s="168"/>
      <c r="D204" s="168"/>
      <c r="E204" s="168"/>
      <c r="F204" s="168"/>
      <c r="G204" s="168"/>
      <c r="H204" s="169"/>
      <c r="I204" s="168"/>
      <c r="J204" s="169"/>
      <c r="K204" s="169"/>
      <c r="L204" s="169"/>
      <c r="M204" s="71"/>
    </row>
    <row r="205" ht="15.75" customHeight="1">
      <c r="A205" s="168"/>
      <c r="B205" s="168"/>
      <c r="C205" s="168"/>
      <c r="D205" s="168"/>
      <c r="E205" s="168"/>
      <c r="F205" s="168"/>
      <c r="G205" s="168"/>
      <c r="H205" s="169"/>
      <c r="I205" s="168"/>
      <c r="J205" s="169"/>
      <c r="K205" s="169"/>
      <c r="L205" s="169"/>
      <c r="M205" s="71"/>
    </row>
    <row r="206" ht="15.75" customHeight="1">
      <c r="A206" s="168"/>
      <c r="B206" s="168"/>
      <c r="C206" s="168"/>
      <c r="D206" s="168"/>
      <c r="E206" s="168"/>
      <c r="F206" s="168"/>
      <c r="G206" s="168"/>
      <c r="H206" s="169"/>
      <c r="I206" s="168"/>
      <c r="J206" s="169"/>
      <c r="K206" s="169"/>
      <c r="L206" s="169"/>
      <c r="M206" s="71"/>
    </row>
    <row r="207" ht="15.75" customHeight="1">
      <c r="A207" s="168"/>
      <c r="B207" s="168"/>
      <c r="C207" s="168"/>
      <c r="D207" s="168"/>
      <c r="E207" s="168"/>
      <c r="F207" s="168"/>
      <c r="G207" s="168"/>
      <c r="H207" s="169"/>
      <c r="I207" s="168"/>
      <c r="J207" s="169"/>
      <c r="K207" s="169"/>
      <c r="L207" s="169"/>
      <c r="M207" s="71"/>
    </row>
    <row r="208" ht="15.75" customHeight="1">
      <c r="A208" s="168"/>
      <c r="B208" s="168"/>
      <c r="C208" s="168"/>
      <c r="D208" s="168"/>
      <c r="E208" s="168"/>
      <c r="F208" s="168"/>
      <c r="G208" s="168"/>
      <c r="H208" s="169"/>
      <c r="I208" s="168"/>
      <c r="J208" s="169"/>
      <c r="K208" s="169"/>
      <c r="L208" s="169"/>
      <c r="M208" s="71"/>
    </row>
    <row r="209" ht="15.75" customHeight="1">
      <c r="A209" s="168"/>
      <c r="B209" s="168"/>
      <c r="C209" s="168"/>
      <c r="D209" s="168"/>
      <c r="E209" s="168"/>
      <c r="F209" s="168"/>
      <c r="G209" s="168"/>
      <c r="H209" s="169"/>
      <c r="I209" s="168"/>
      <c r="J209" s="169"/>
      <c r="K209" s="169"/>
      <c r="L209" s="169"/>
      <c r="M209" s="71"/>
    </row>
    <row r="210" ht="15.75" customHeight="1">
      <c r="A210" s="168"/>
      <c r="B210" s="168"/>
      <c r="C210" s="168"/>
      <c r="D210" s="168"/>
      <c r="E210" s="168"/>
      <c r="F210" s="168"/>
      <c r="G210" s="168"/>
      <c r="H210" s="169"/>
      <c r="I210" s="168"/>
      <c r="J210" s="169"/>
      <c r="K210" s="169"/>
      <c r="L210" s="169"/>
      <c r="M210" s="71"/>
    </row>
    <row r="211" ht="15.75" customHeight="1">
      <c r="A211" s="168"/>
      <c r="B211" s="168"/>
      <c r="C211" s="168"/>
      <c r="D211" s="168"/>
      <c r="E211" s="168"/>
      <c r="F211" s="168"/>
      <c r="G211" s="168"/>
      <c r="H211" s="169"/>
      <c r="I211" s="168"/>
      <c r="J211" s="169"/>
      <c r="K211" s="169"/>
      <c r="L211" s="169"/>
      <c r="M211" s="71"/>
    </row>
    <row r="212" ht="15.75" customHeight="1">
      <c r="A212" s="168"/>
      <c r="B212" s="168"/>
      <c r="C212" s="168"/>
      <c r="D212" s="168"/>
      <c r="E212" s="168"/>
      <c r="F212" s="168"/>
      <c r="G212" s="168"/>
      <c r="H212" s="169"/>
      <c r="I212" s="168"/>
      <c r="J212" s="169"/>
      <c r="K212" s="169"/>
      <c r="L212" s="169"/>
      <c r="M212" s="71"/>
    </row>
    <row r="213" ht="15.75" customHeight="1">
      <c r="A213" s="168"/>
      <c r="B213" s="168"/>
      <c r="C213" s="168"/>
      <c r="D213" s="168"/>
      <c r="E213" s="168"/>
      <c r="F213" s="168"/>
      <c r="G213" s="168"/>
      <c r="H213" s="169"/>
      <c r="I213" s="168"/>
      <c r="J213" s="169"/>
      <c r="K213" s="169"/>
      <c r="L213" s="169"/>
      <c r="M213" s="71"/>
    </row>
    <row r="214" ht="15.75" customHeight="1">
      <c r="A214" s="168"/>
      <c r="B214" s="168"/>
      <c r="C214" s="168"/>
      <c r="D214" s="168"/>
      <c r="E214" s="168"/>
      <c r="F214" s="168"/>
      <c r="G214" s="168"/>
      <c r="H214" s="169"/>
      <c r="I214" s="168"/>
      <c r="J214" s="169"/>
      <c r="K214" s="169"/>
      <c r="L214" s="169"/>
      <c r="M214" s="71"/>
    </row>
    <row r="215" ht="15.75" customHeight="1">
      <c r="A215" s="168"/>
      <c r="B215" s="168"/>
      <c r="C215" s="168"/>
      <c r="D215" s="168"/>
      <c r="E215" s="168"/>
      <c r="F215" s="168"/>
      <c r="G215" s="168"/>
      <c r="H215" s="169"/>
      <c r="I215" s="168"/>
      <c r="J215" s="169"/>
      <c r="K215" s="169"/>
      <c r="L215" s="169"/>
      <c r="M215" s="71"/>
    </row>
    <row r="216" ht="15.75" customHeight="1">
      <c r="A216" s="168"/>
      <c r="B216" s="168"/>
      <c r="C216" s="168"/>
      <c r="D216" s="168"/>
      <c r="E216" s="168"/>
      <c r="F216" s="168"/>
      <c r="G216" s="168"/>
      <c r="H216" s="169"/>
      <c r="I216" s="168"/>
      <c r="J216" s="169"/>
      <c r="K216" s="169"/>
      <c r="L216" s="169"/>
      <c r="M216" s="71"/>
    </row>
    <row r="217" ht="15.75" customHeight="1">
      <c r="A217" s="168"/>
      <c r="B217" s="168"/>
      <c r="C217" s="168"/>
      <c r="D217" s="168"/>
      <c r="E217" s="168"/>
      <c r="F217" s="168"/>
      <c r="G217" s="168"/>
      <c r="H217" s="169"/>
      <c r="I217" s="168"/>
      <c r="J217" s="169"/>
      <c r="K217" s="169"/>
      <c r="L217" s="169"/>
      <c r="M217" s="71"/>
    </row>
    <row r="218" ht="15.75" customHeight="1">
      <c r="A218" s="168"/>
      <c r="B218" s="168"/>
      <c r="C218" s="168"/>
      <c r="D218" s="168"/>
      <c r="E218" s="168"/>
      <c r="F218" s="168"/>
      <c r="G218" s="168"/>
      <c r="H218" s="169"/>
      <c r="I218" s="168"/>
      <c r="J218" s="169"/>
      <c r="K218" s="169"/>
      <c r="L218" s="169"/>
      <c r="M218" s="71"/>
    </row>
    <row r="219" ht="15.75" customHeight="1">
      <c r="A219" s="168"/>
      <c r="B219" s="168"/>
      <c r="C219" s="168"/>
      <c r="D219" s="168"/>
      <c r="E219" s="168"/>
      <c r="F219" s="168"/>
      <c r="G219" s="168"/>
      <c r="H219" s="169"/>
      <c r="I219" s="168"/>
      <c r="J219" s="169"/>
      <c r="K219" s="169"/>
      <c r="L219" s="169"/>
      <c r="M219" s="71"/>
    </row>
    <row r="220" ht="15.75" customHeight="1">
      <c r="A220" s="168"/>
      <c r="B220" s="168"/>
      <c r="C220" s="168"/>
      <c r="D220" s="168"/>
      <c r="E220" s="168"/>
      <c r="F220" s="168"/>
      <c r="G220" s="168"/>
      <c r="H220" s="169"/>
      <c r="I220" s="168"/>
      <c r="J220" s="169"/>
      <c r="K220" s="169"/>
      <c r="L220" s="169"/>
      <c r="M220" s="71"/>
    </row>
    <row r="221" ht="15.75" customHeight="1">
      <c r="A221" s="168"/>
      <c r="B221" s="168"/>
      <c r="C221" s="168"/>
      <c r="D221" s="168"/>
      <c r="E221" s="168"/>
      <c r="F221" s="168"/>
      <c r="G221" s="168"/>
      <c r="H221" s="169"/>
      <c r="I221" s="168"/>
      <c r="J221" s="169"/>
      <c r="K221" s="169"/>
      <c r="L221" s="169"/>
      <c r="M221" s="71"/>
    </row>
    <row r="222" ht="15.75" customHeight="1">
      <c r="A222" s="168"/>
      <c r="B222" s="168"/>
      <c r="C222" s="168"/>
      <c r="D222" s="168"/>
      <c r="E222" s="168"/>
      <c r="F222" s="168"/>
      <c r="G222" s="168"/>
      <c r="H222" s="169"/>
      <c r="I222" s="168"/>
      <c r="J222" s="169"/>
      <c r="K222" s="169"/>
      <c r="L222" s="169"/>
      <c r="M222" s="71"/>
    </row>
    <row r="223" ht="15.75" customHeight="1">
      <c r="A223" s="168"/>
      <c r="B223" s="168"/>
      <c r="C223" s="168"/>
      <c r="D223" s="168"/>
      <c r="E223" s="168"/>
      <c r="F223" s="168"/>
      <c r="G223" s="168"/>
      <c r="H223" s="169"/>
      <c r="I223" s="168"/>
      <c r="J223" s="169"/>
      <c r="K223" s="169"/>
      <c r="L223" s="169"/>
      <c r="M223" s="71"/>
    </row>
    <row r="224" ht="15.75" customHeight="1">
      <c r="A224" s="168"/>
      <c r="B224" s="168"/>
      <c r="C224" s="168"/>
      <c r="D224" s="168"/>
      <c r="E224" s="168"/>
      <c r="F224" s="168"/>
      <c r="G224" s="168"/>
      <c r="H224" s="169"/>
      <c r="I224" s="168"/>
      <c r="J224" s="169"/>
      <c r="K224" s="169"/>
      <c r="L224" s="169"/>
      <c r="M224" s="71"/>
    </row>
    <row r="225" ht="15.75" customHeight="1">
      <c r="A225" s="168"/>
      <c r="B225" s="168"/>
      <c r="C225" s="168"/>
      <c r="D225" s="168"/>
      <c r="E225" s="168"/>
      <c r="F225" s="168"/>
      <c r="G225" s="168"/>
      <c r="H225" s="169"/>
      <c r="I225" s="168"/>
      <c r="J225" s="169"/>
      <c r="K225" s="169"/>
      <c r="L225" s="169"/>
      <c r="M225" s="71"/>
    </row>
    <row r="226" ht="15.75" customHeight="1">
      <c r="A226" s="168"/>
      <c r="B226" s="168"/>
      <c r="C226" s="168"/>
      <c r="D226" s="168"/>
      <c r="E226" s="168"/>
      <c r="F226" s="168"/>
      <c r="G226" s="168"/>
      <c r="H226" s="169"/>
      <c r="I226" s="168"/>
      <c r="J226" s="169"/>
      <c r="K226" s="169"/>
      <c r="L226" s="169"/>
      <c r="M226" s="71"/>
    </row>
    <row r="227" ht="15.75" customHeight="1">
      <c r="A227" s="168"/>
      <c r="B227" s="168"/>
      <c r="C227" s="168"/>
      <c r="D227" s="168"/>
      <c r="E227" s="168"/>
      <c r="F227" s="168"/>
      <c r="G227" s="168"/>
      <c r="H227" s="169"/>
      <c r="I227" s="168"/>
      <c r="J227" s="169"/>
      <c r="K227" s="169"/>
      <c r="L227" s="169"/>
      <c r="M227" s="71"/>
    </row>
    <row r="228" ht="15.75" customHeight="1">
      <c r="A228" s="168"/>
      <c r="B228" s="168"/>
      <c r="C228" s="168"/>
      <c r="D228" s="168"/>
      <c r="E228" s="168"/>
      <c r="F228" s="168"/>
      <c r="G228" s="168"/>
      <c r="H228" s="169"/>
      <c r="I228" s="168"/>
      <c r="J228" s="169"/>
      <c r="K228" s="169"/>
      <c r="L228" s="169"/>
      <c r="M228" s="71"/>
    </row>
    <row r="229" ht="15.75" customHeight="1">
      <c r="A229" s="168"/>
      <c r="B229" s="168"/>
      <c r="C229" s="168"/>
      <c r="D229" s="168"/>
      <c r="E229" s="168"/>
      <c r="F229" s="168"/>
      <c r="G229" s="168"/>
      <c r="H229" s="169"/>
      <c r="I229" s="168"/>
      <c r="J229" s="169"/>
      <c r="K229" s="169"/>
      <c r="L229" s="169"/>
      <c r="M229" s="71"/>
    </row>
    <row r="230" ht="15.75" customHeight="1">
      <c r="A230" s="168"/>
      <c r="B230" s="168"/>
      <c r="C230" s="168"/>
      <c r="D230" s="168"/>
      <c r="E230" s="168"/>
      <c r="F230" s="168"/>
      <c r="G230" s="168"/>
      <c r="H230" s="169"/>
      <c r="I230" s="168"/>
      <c r="J230" s="169"/>
      <c r="K230" s="169"/>
      <c r="L230" s="169"/>
      <c r="M230" s="71"/>
    </row>
    <row r="231" ht="15.75" customHeight="1">
      <c r="A231" s="168"/>
      <c r="B231" s="168"/>
      <c r="C231" s="168"/>
      <c r="D231" s="168"/>
      <c r="E231" s="168"/>
      <c r="F231" s="168"/>
      <c r="G231" s="168"/>
      <c r="H231" s="169"/>
      <c r="I231" s="168"/>
      <c r="J231" s="169"/>
      <c r="K231" s="169"/>
      <c r="L231" s="169"/>
      <c r="M231" s="71"/>
    </row>
    <row r="232" ht="15.75" customHeight="1">
      <c r="A232" s="168"/>
      <c r="B232" s="168"/>
      <c r="C232" s="168"/>
      <c r="D232" s="168"/>
      <c r="E232" s="168"/>
      <c r="F232" s="168"/>
      <c r="G232" s="168"/>
      <c r="H232" s="169"/>
      <c r="I232" s="168"/>
      <c r="J232" s="169"/>
      <c r="K232" s="169"/>
      <c r="L232" s="169"/>
      <c r="M232" s="71"/>
    </row>
    <row r="233" ht="15.75" customHeight="1">
      <c r="A233" s="168"/>
      <c r="B233" s="168"/>
      <c r="C233" s="168"/>
      <c r="D233" s="168"/>
      <c r="E233" s="168"/>
      <c r="F233" s="168"/>
      <c r="G233" s="168"/>
      <c r="H233" s="169"/>
      <c r="I233" s="168"/>
      <c r="J233" s="169"/>
      <c r="K233" s="169"/>
      <c r="L233" s="169"/>
      <c r="M233" s="71"/>
    </row>
    <row r="234" ht="15.75" customHeight="1">
      <c r="A234" s="168"/>
      <c r="B234" s="168"/>
      <c r="C234" s="168"/>
      <c r="D234" s="168"/>
      <c r="E234" s="168"/>
      <c r="F234" s="168"/>
      <c r="G234" s="168"/>
      <c r="H234" s="169"/>
      <c r="I234" s="168"/>
      <c r="J234" s="169"/>
      <c r="K234" s="169"/>
      <c r="L234" s="169"/>
      <c r="M234" s="71"/>
    </row>
    <row r="235" ht="15.75" customHeight="1">
      <c r="A235" s="168"/>
      <c r="B235" s="168"/>
      <c r="C235" s="168"/>
      <c r="D235" s="168"/>
      <c r="E235" s="168"/>
      <c r="F235" s="168"/>
      <c r="G235" s="168"/>
      <c r="H235" s="169"/>
      <c r="I235" s="168"/>
      <c r="J235" s="169"/>
      <c r="K235" s="169"/>
      <c r="L235" s="169"/>
      <c r="M235" s="71"/>
    </row>
    <row r="236" ht="15.75" customHeight="1">
      <c r="A236" s="168"/>
      <c r="B236" s="168"/>
      <c r="C236" s="168"/>
      <c r="D236" s="168"/>
      <c r="E236" s="168"/>
      <c r="F236" s="168"/>
      <c r="G236" s="168"/>
      <c r="H236" s="169"/>
      <c r="I236" s="168"/>
      <c r="J236" s="169"/>
      <c r="K236" s="169"/>
      <c r="L236" s="169"/>
      <c r="M236" s="71"/>
    </row>
    <row r="237" ht="15.75" customHeight="1">
      <c r="A237" s="168"/>
      <c r="B237" s="168"/>
      <c r="C237" s="168"/>
      <c r="D237" s="168"/>
      <c r="E237" s="168"/>
      <c r="F237" s="168"/>
      <c r="G237" s="168"/>
      <c r="H237" s="169"/>
      <c r="I237" s="168"/>
      <c r="J237" s="169"/>
      <c r="K237" s="169"/>
      <c r="L237" s="169"/>
      <c r="M237" s="71"/>
    </row>
    <row r="238" ht="15.75" customHeight="1">
      <c r="A238" s="168"/>
      <c r="B238" s="168"/>
      <c r="C238" s="168"/>
      <c r="D238" s="168"/>
      <c r="E238" s="168"/>
      <c r="F238" s="168"/>
      <c r="G238" s="168"/>
      <c r="H238" s="169"/>
      <c r="I238" s="168"/>
      <c r="J238" s="169"/>
      <c r="K238" s="169"/>
      <c r="L238" s="169"/>
      <c r="M238" s="71"/>
    </row>
    <row r="239" ht="15.75" customHeight="1">
      <c r="A239" s="168"/>
      <c r="B239" s="168"/>
      <c r="C239" s="168"/>
      <c r="D239" s="168"/>
      <c r="E239" s="168"/>
      <c r="F239" s="168"/>
      <c r="G239" s="168"/>
      <c r="H239" s="169"/>
      <c r="I239" s="168"/>
      <c r="J239" s="169"/>
      <c r="K239" s="169"/>
      <c r="L239" s="169"/>
      <c r="M239" s="71"/>
    </row>
    <row r="240" ht="15.75" customHeight="1">
      <c r="A240" s="168"/>
      <c r="B240" s="168"/>
      <c r="C240" s="168"/>
      <c r="D240" s="168"/>
      <c r="E240" s="168"/>
      <c r="F240" s="168"/>
      <c r="G240" s="168"/>
      <c r="H240" s="169"/>
      <c r="I240" s="168"/>
      <c r="J240" s="169"/>
      <c r="K240" s="169"/>
      <c r="L240" s="169"/>
      <c r="M240" s="71"/>
    </row>
    <row r="241" ht="15.75" customHeight="1">
      <c r="A241" s="168"/>
      <c r="B241" s="168"/>
      <c r="C241" s="168"/>
      <c r="D241" s="168"/>
      <c r="E241" s="168"/>
      <c r="F241" s="168"/>
      <c r="G241" s="168"/>
      <c r="H241" s="169"/>
      <c r="I241" s="168"/>
      <c r="J241" s="169"/>
      <c r="K241" s="169"/>
      <c r="L241" s="169"/>
      <c r="M241" s="71"/>
    </row>
    <row r="242" ht="15.75" customHeight="1">
      <c r="A242" s="168"/>
      <c r="B242" s="168"/>
      <c r="C242" s="168"/>
      <c r="D242" s="168"/>
      <c r="E242" s="168"/>
      <c r="F242" s="168"/>
      <c r="G242" s="168"/>
      <c r="H242" s="169"/>
      <c r="I242" s="168"/>
      <c r="J242" s="169"/>
      <c r="K242" s="169"/>
      <c r="L242" s="169"/>
      <c r="M242" s="71"/>
    </row>
    <row r="243" ht="15.75" customHeight="1">
      <c r="A243" s="168"/>
      <c r="B243" s="168"/>
      <c r="C243" s="168"/>
      <c r="D243" s="168"/>
      <c r="E243" s="168"/>
      <c r="F243" s="168"/>
      <c r="G243" s="168"/>
      <c r="H243" s="169"/>
      <c r="I243" s="168"/>
      <c r="J243" s="169"/>
      <c r="K243" s="169"/>
      <c r="L243" s="169"/>
      <c r="M243" s="71"/>
    </row>
    <row r="244" ht="15.75" customHeight="1">
      <c r="A244" s="168"/>
      <c r="B244" s="168"/>
      <c r="C244" s="168"/>
      <c r="D244" s="168"/>
      <c r="E244" s="168"/>
      <c r="F244" s="168"/>
      <c r="G244" s="168"/>
      <c r="H244" s="169"/>
      <c r="I244" s="168"/>
      <c r="J244" s="169"/>
      <c r="K244" s="169"/>
      <c r="L244" s="169"/>
      <c r="M244" s="71"/>
    </row>
    <row r="245" ht="15.75" customHeight="1">
      <c r="A245" s="168"/>
      <c r="B245" s="168"/>
      <c r="C245" s="168"/>
      <c r="D245" s="168"/>
      <c r="E245" s="168"/>
      <c r="F245" s="168"/>
      <c r="G245" s="168"/>
      <c r="H245" s="169"/>
      <c r="I245" s="168"/>
      <c r="J245" s="169"/>
      <c r="K245" s="169"/>
      <c r="L245" s="169"/>
      <c r="M245" s="71"/>
    </row>
    <row r="246" ht="15.75" customHeight="1">
      <c r="A246" s="168"/>
      <c r="B246" s="168"/>
      <c r="C246" s="168"/>
      <c r="D246" s="168"/>
      <c r="E246" s="168"/>
      <c r="F246" s="168"/>
      <c r="G246" s="168"/>
      <c r="H246" s="169"/>
      <c r="I246" s="168"/>
      <c r="J246" s="169"/>
      <c r="K246" s="169"/>
      <c r="L246" s="169"/>
      <c r="M246" s="71"/>
    </row>
    <row r="247" ht="15.75" customHeight="1">
      <c r="A247" s="168"/>
      <c r="B247" s="168"/>
      <c r="C247" s="168"/>
      <c r="D247" s="168"/>
      <c r="E247" s="168"/>
      <c r="F247" s="168"/>
      <c r="G247" s="168"/>
      <c r="H247" s="169"/>
      <c r="I247" s="168"/>
      <c r="J247" s="169"/>
      <c r="K247" s="169"/>
      <c r="L247" s="169"/>
      <c r="M247" s="71"/>
    </row>
    <row r="248" ht="15.75" customHeight="1">
      <c r="A248" s="168"/>
      <c r="B248" s="168"/>
      <c r="C248" s="168"/>
      <c r="D248" s="168"/>
      <c r="E248" s="168"/>
      <c r="F248" s="168"/>
      <c r="G248" s="168"/>
      <c r="H248" s="169"/>
      <c r="I248" s="168"/>
      <c r="J248" s="169"/>
      <c r="K248" s="169"/>
      <c r="L248" s="169"/>
      <c r="M248" s="71"/>
    </row>
    <row r="249" ht="15.75" customHeight="1">
      <c r="A249" s="168"/>
      <c r="B249" s="168"/>
      <c r="C249" s="168"/>
      <c r="D249" s="168"/>
      <c r="E249" s="168"/>
      <c r="F249" s="168"/>
      <c r="G249" s="168"/>
      <c r="H249" s="169"/>
      <c r="I249" s="168"/>
      <c r="J249" s="169"/>
      <c r="K249" s="169"/>
      <c r="L249" s="169"/>
      <c r="M249" s="71"/>
    </row>
    <row r="250" ht="15.75" customHeight="1">
      <c r="A250" s="168"/>
      <c r="B250" s="168"/>
      <c r="C250" s="168"/>
      <c r="D250" s="168"/>
      <c r="E250" s="168"/>
      <c r="F250" s="168"/>
      <c r="G250" s="168"/>
      <c r="H250" s="169"/>
      <c r="I250" s="168"/>
      <c r="J250" s="169"/>
      <c r="K250" s="169"/>
      <c r="L250" s="169"/>
      <c r="M250" s="71"/>
    </row>
    <row r="251" ht="15.75" customHeight="1">
      <c r="A251" s="168"/>
      <c r="B251" s="168"/>
      <c r="C251" s="168"/>
      <c r="D251" s="168"/>
      <c r="E251" s="168"/>
      <c r="F251" s="168"/>
      <c r="G251" s="168"/>
      <c r="H251" s="169"/>
      <c r="I251" s="168"/>
      <c r="J251" s="169"/>
      <c r="K251" s="169"/>
      <c r="L251" s="169"/>
      <c r="M251" s="71"/>
    </row>
    <row r="252" ht="15.75" customHeight="1">
      <c r="A252" s="168"/>
      <c r="B252" s="168"/>
      <c r="C252" s="168"/>
      <c r="D252" s="168"/>
      <c r="E252" s="168"/>
      <c r="F252" s="168"/>
      <c r="G252" s="168"/>
      <c r="H252" s="169"/>
      <c r="I252" s="168"/>
      <c r="J252" s="169"/>
      <c r="K252" s="169"/>
      <c r="L252" s="169"/>
      <c r="M252" s="71"/>
    </row>
    <row r="253" ht="15.75" customHeight="1">
      <c r="A253" s="168"/>
      <c r="B253" s="168"/>
      <c r="C253" s="168"/>
      <c r="D253" s="168"/>
      <c r="E253" s="168"/>
      <c r="F253" s="168"/>
      <c r="G253" s="168"/>
      <c r="H253" s="169"/>
      <c r="I253" s="168"/>
      <c r="J253" s="169"/>
      <c r="K253" s="169"/>
      <c r="L253" s="169"/>
      <c r="M253" s="71"/>
    </row>
    <row r="254" ht="15.75" customHeight="1">
      <c r="A254" s="168"/>
      <c r="B254" s="168"/>
      <c r="C254" s="168"/>
      <c r="D254" s="168"/>
      <c r="E254" s="168"/>
      <c r="F254" s="168"/>
      <c r="G254" s="168"/>
      <c r="H254" s="169"/>
      <c r="I254" s="168"/>
      <c r="J254" s="169"/>
      <c r="K254" s="169"/>
      <c r="L254" s="169"/>
      <c r="M254" s="71"/>
    </row>
    <row r="255" ht="15.75" customHeight="1">
      <c r="A255" s="168"/>
      <c r="B255" s="168"/>
      <c r="C255" s="168"/>
      <c r="D255" s="168"/>
      <c r="E255" s="168"/>
      <c r="F255" s="168"/>
      <c r="G255" s="168"/>
      <c r="H255" s="169"/>
      <c r="I255" s="168"/>
      <c r="J255" s="169"/>
      <c r="K255" s="169"/>
      <c r="L255" s="169"/>
      <c r="M255" s="71"/>
    </row>
    <row r="256" ht="15.75" customHeight="1">
      <c r="A256" s="168"/>
      <c r="B256" s="168"/>
      <c r="C256" s="168"/>
      <c r="D256" s="168"/>
      <c r="E256" s="168"/>
      <c r="F256" s="168"/>
      <c r="G256" s="168"/>
      <c r="H256" s="169"/>
      <c r="I256" s="168"/>
      <c r="J256" s="169"/>
      <c r="K256" s="169"/>
      <c r="L256" s="169"/>
      <c r="M256" s="71"/>
    </row>
    <row r="257" ht="15.75" customHeight="1">
      <c r="A257" s="168"/>
      <c r="B257" s="168"/>
      <c r="C257" s="168"/>
      <c r="D257" s="168"/>
      <c r="E257" s="168"/>
      <c r="F257" s="168"/>
      <c r="G257" s="168"/>
      <c r="H257" s="169"/>
      <c r="I257" s="168"/>
      <c r="J257" s="169"/>
      <c r="K257" s="169"/>
      <c r="L257" s="169"/>
      <c r="M257" s="71"/>
    </row>
    <row r="258" ht="15.75" customHeight="1">
      <c r="A258" s="168"/>
      <c r="B258" s="168"/>
      <c r="C258" s="168"/>
      <c r="D258" s="168"/>
      <c r="E258" s="168"/>
      <c r="F258" s="168"/>
      <c r="G258" s="168"/>
      <c r="H258" s="169"/>
      <c r="I258" s="168"/>
      <c r="J258" s="169"/>
      <c r="K258" s="169"/>
      <c r="L258" s="169"/>
      <c r="M258" s="71"/>
    </row>
    <row r="259" ht="15.75" customHeight="1">
      <c r="A259" s="168"/>
      <c r="B259" s="168"/>
      <c r="C259" s="168"/>
      <c r="D259" s="168"/>
      <c r="E259" s="168"/>
      <c r="F259" s="168"/>
      <c r="G259" s="168"/>
      <c r="H259" s="169"/>
      <c r="I259" s="168"/>
      <c r="J259" s="169"/>
      <c r="K259" s="169"/>
      <c r="L259" s="169"/>
      <c r="M259" s="71"/>
    </row>
    <row r="260" ht="15.75" customHeight="1">
      <c r="A260" s="168"/>
      <c r="B260" s="168"/>
      <c r="C260" s="168"/>
      <c r="D260" s="168"/>
      <c r="E260" s="168"/>
      <c r="F260" s="168"/>
      <c r="G260" s="168"/>
      <c r="H260" s="169"/>
      <c r="I260" s="168"/>
      <c r="J260" s="169"/>
      <c r="K260" s="169"/>
      <c r="L260" s="169"/>
      <c r="M260" s="71"/>
    </row>
    <row r="261" ht="15.75" customHeight="1">
      <c r="A261" s="168"/>
      <c r="B261" s="168"/>
      <c r="C261" s="168"/>
      <c r="D261" s="168"/>
      <c r="E261" s="168"/>
      <c r="F261" s="168"/>
      <c r="G261" s="168"/>
      <c r="H261" s="169"/>
      <c r="I261" s="168"/>
      <c r="J261" s="169"/>
      <c r="K261" s="169"/>
      <c r="L261" s="169"/>
      <c r="M261" s="71"/>
    </row>
    <row r="262" ht="15.75" customHeight="1">
      <c r="A262" s="168"/>
      <c r="B262" s="168"/>
      <c r="C262" s="168"/>
      <c r="D262" s="168"/>
      <c r="E262" s="168"/>
      <c r="F262" s="168"/>
      <c r="G262" s="168"/>
      <c r="H262" s="169"/>
      <c r="I262" s="168"/>
      <c r="J262" s="169"/>
      <c r="K262" s="169"/>
      <c r="L262" s="169"/>
      <c r="M262" s="71"/>
    </row>
    <row r="263" ht="15.75" customHeight="1">
      <c r="A263" s="168"/>
      <c r="B263" s="168"/>
      <c r="C263" s="168"/>
      <c r="D263" s="168"/>
      <c r="E263" s="168"/>
      <c r="F263" s="168"/>
      <c r="G263" s="168"/>
      <c r="H263" s="169"/>
      <c r="I263" s="168"/>
      <c r="J263" s="169"/>
      <c r="K263" s="169"/>
      <c r="L263" s="169"/>
      <c r="M263" s="71"/>
    </row>
    <row r="264" ht="15.75" customHeight="1">
      <c r="A264" s="168"/>
      <c r="B264" s="168"/>
      <c r="C264" s="168"/>
      <c r="D264" s="168"/>
      <c r="E264" s="168"/>
      <c r="F264" s="168"/>
      <c r="G264" s="168"/>
      <c r="H264" s="169"/>
      <c r="I264" s="168"/>
      <c r="J264" s="169"/>
      <c r="K264" s="169"/>
      <c r="L264" s="169"/>
      <c r="M264" s="71"/>
    </row>
    <row r="265" ht="15.75" customHeight="1">
      <c r="A265" s="168"/>
      <c r="B265" s="168"/>
      <c r="C265" s="168"/>
      <c r="D265" s="168"/>
      <c r="E265" s="168"/>
      <c r="F265" s="168"/>
      <c r="G265" s="168"/>
      <c r="H265" s="169"/>
      <c r="I265" s="168"/>
      <c r="J265" s="169"/>
      <c r="K265" s="169"/>
      <c r="L265" s="169"/>
      <c r="M265" s="71"/>
    </row>
    <row r="266" ht="15.75" customHeight="1">
      <c r="A266" s="168"/>
      <c r="B266" s="168"/>
      <c r="C266" s="168"/>
      <c r="D266" s="168"/>
      <c r="E266" s="168"/>
      <c r="F266" s="168"/>
      <c r="G266" s="168"/>
      <c r="H266" s="169"/>
      <c r="I266" s="168"/>
      <c r="J266" s="169"/>
      <c r="K266" s="169"/>
      <c r="L266" s="169"/>
      <c r="M266" s="71"/>
    </row>
    <row r="267" ht="15.75" customHeight="1">
      <c r="A267" s="168"/>
      <c r="B267" s="168"/>
      <c r="C267" s="168"/>
      <c r="D267" s="168"/>
      <c r="E267" s="168"/>
      <c r="F267" s="168"/>
      <c r="G267" s="168"/>
      <c r="H267" s="169"/>
      <c r="I267" s="168"/>
      <c r="J267" s="169"/>
      <c r="K267" s="169"/>
      <c r="L267" s="169"/>
      <c r="M267" s="71"/>
    </row>
    <row r="268" ht="15.75" customHeight="1">
      <c r="A268" s="168"/>
      <c r="B268" s="168"/>
      <c r="C268" s="168"/>
      <c r="D268" s="168"/>
      <c r="E268" s="168"/>
      <c r="F268" s="168"/>
      <c r="G268" s="168"/>
      <c r="H268" s="169"/>
      <c r="I268" s="168"/>
      <c r="J268" s="169"/>
      <c r="K268" s="169"/>
      <c r="L268" s="169"/>
      <c r="M268" s="71"/>
    </row>
    <row r="269" ht="15.75" customHeight="1">
      <c r="A269" s="168"/>
      <c r="B269" s="168"/>
      <c r="C269" s="168"/>
      <c r="D269" s="168"/>
      <c r="E269" s="168"/>
      <c r="F269" s="168"/>
      <c r="G269" s="168"/>
      <c r="H269" s="169"/>
      <c r="I269" s="168"/>
      <c r="J269" s="169"/>
      <c r="K269" s="169"/>
      <c r="L269" s="169"/>
      <c r="M269" s="71"/>
    </row>
    <row r="270" ht="15.75" customHeight="1">
      <c r="A270" s="168"/>
      <c r="B270" s="168"/>
      <c r="C270" s="168"/>
      <c r="D270" s="168"/>
      <c r="E270" s="168"/>
      <c r="F270" s="168"/>
      <c r="G270" s="168"/>
      <c r="H270" s="169"/>
      <c r="I270" s="168"/>
      <c r="J270" s="169"/>
      <c r="K270" s="169"/>
      <c r="L270" s="169"/>
      <c r="M270" s="71"/>
    </row>
    <row r="271" ht="15.75" customHeight="1">
      <c r="A271" s="168"/>
      <c r="B271" s="168"/>
      <c r="C271" s="168"/>
      <c r="D271" s="168"/>
      <c r="E271" s="168"/>
      <c r="F271" s="168"/>
      <c r="G271" s="168"/>
      <c r="H271" s="169"/>
      <c r="I271" s="168"/>
      <c r="J271" s="169"/>
      <c r="K271" s="169"/>
      <c r="L271" s="169"/>
      <c r="M271" s="71"/>
    </row>
    <row r="272" ht="15.75" customHeight="1">
      <c r="A272" s="168"/>
      <c r="B272" s="168"/>
      <c r="C272" s="168"/>
      <c r="D272" s="168"/>
      <c r="E272" s="168"/>
      <c r="F272" s="168"/>
      <c r="G272" s="168"/>
      <c r="H272" s="169"/>
      <c r="I272" s="168"/>
      <c r="J272" s="169"/>
      <c r="K272" s="169"/>
      <c r="L272" s="169"/>
      <c r="M272" s="71"/>
    </row>
    <row r="273" ht="15.75" customHeight="1">
      <c r="A273" s="168"/>
      <c r="B273" s="168"/>
      <c r="C273" s="168"/>
      <c r="D273" s="168"/>
      <c r="E273" s="168"/>
      <c r="F273" s="168"/>
      <c r="G273" s="168"/>
      <c r="H273" s="169"/>
      <c r="I273" s="168"/>
      <c r="J273" s="169"/>
      <c r="K273" s="169"/>
      <c r="L273" s="169"/>
      <c r="M273" s="71"/>
    </row>
    <row r="274" ht="15.75" customHeight="1">
      <c r="A274" s="168"/>
      <c r="B274" s="168"/>
      <c r="C274" s="168"/>
      <c r="D274" s="168"/>
      <c r="E274" s="168"/>
      <c r="F274" s="168"/>
      <c r="G274" s="168"/>
      <c r="H274" s="169"/>
      <c r="I274" s="168"/>
      <c r="J274" s="169"/>
      <c r="K274" s="169"/>
      <c r="L274" s="169"/>
      <c r="M274" s="71"/>
    </row>
    <row r="275" ht="15.75" customHeight="1">
      <c r="A275" s="168"/>
      <c r="B275" s="168"/>
      <c r="C275" s="168"/>
      <c r="D275" s="168"/>
      <c r="E275" s="168"/>
      <c r="F275" s="168"/>
      <c r="G275" s="168"/>
      <c r="H275" s="169"/>
      <c r="I275" s="168"/>
      <c r="J275" s="169"/>
      <c r="K275" s="169"/>
      <c r="L275" s="169"/>
      <c r="M275" s="71"/>
    </row>
    <row r="276" ht="15.75" customHeight="1">
      <c r="A276" s="168"/>
      <c r="B276" s="168"/>
      <c r="C276" s="168"/>
      <c r="D276" s="168"/>
      <c r="E276" s="168"/>
      <c r="F276" s="168"/>
      <c r="G276" s="168"/>
      <c r="H276" s="169"/>
      <c r="I276" s="168"/>
      <c r="J276" s="169"/>
      <c r="K276" s="169"/>
      <c r="L276" s="169"/>
      <c r="M276" s="71"/>
    </row>
    <row r="277" ht="15.75" customHeight="1">
      <c r="A277" s="168"/>
      <c r="B277" s="168"/>
      <c r="C277" s="168"/>
      <c r="D277" s="168"/>
      <c r="E277" s="168"/>
      <c r="F277" s="168"/>
      <c r="G277" s="168"/>
      <c r="H277" s="169"/>
      <c r="I277" s="168"/>
      <c r="J277" s="169"/>
      <c r="K277" s="169"/>
      <c r="L277" s="169"/>
      <c r="M277" s="71"/>
    </row>
    <row r="278" ht="15.75" customHeight="1">
      <c r="A278" s="168"/>
      <c r="B278" s="168"/>
      <c r="C278" s="168"/>
      <c r="D278" s="168"/>
      <c r="E278" s="168"/>
      <c r="F278" s="168"/>
      <c r="G278" s="168"/>
      <c r="H278" s="169"/>
      <c r="I278" s="168"/>
      <c r="J278" s="169"/>
      <c r="K278" s="169"/>
      <c r="L278" s="169"/>
      <c r="M278" s="71"/>
    </row>
    <row r="279" ht="15.75" customHeight="1">
      <c r="A279" s="168"/>
      <c r="B279" s="168"/>
      <c r="C279" s="168"/>
      <c r="D279" s="168"/>
      <c r="E279" s="168"/>
      <c r="F279" s="168"/>
      <c r="G279" s="168"/>
      <c r="H279" s="169"/>
      <c r="I279" s="168"/>
      <c r="J279" s="169"/>
      <c r="K279" s="169"/>
      <c r="L279" s="169"/>
      <c r="M279" s="71"/>
    </row>
    <row r="280" ht="15.75" customHeight="1">
      <c r="A280" s="168"/>
      <c r="B280" s="168"/>
      <c r="C280" s="168"/>
      <c r="D280" s="168"/>
      <c r="E280" s="168"/>
      <c r="F280" s="168"/>
      <c r="G280" s="168"/>
      <c r="H280" s="169"/>
      <c r="I280" s="168"/>
      <c r="J280" s="169"/>
      <c r="K280" s="169"/>
      <c r="L280" s="169"/>
      <c r="M280" s="71"/>
    </row>
    <row r="281" ht="15.75" customHeight="1">
      <c r="A281" s="168"/>
      <c r="B281" s="168"/>
      <c r="C281" s="168"/>
      <c r="D281" s="168"/>
      <c r="E281" s="168"/>
      <c r="F281" s="168"/>
      <c r="G281" s="168"/>
      <c r="H281" s="169"/>
      <c r="I281" s="168"/>
      <c r="J281" s="169"/>
      <c r="K281" s="169"/>
      <c r="L281" s="169"/>
      <c r="M281" s="71"/>
    </row>
    <row r="282" ht="15.75" customHeight="1">
      <c r="A282" s="168"/>
      <c r="B282" s="168"/>
      <c r="C282" s="168"/>
      <c r="D282" s="168"/>
      <c r="E282" s="168"/>
      <c r="F282" s="168"/>
      <c r="G282" s="168"/>
      <c r="H282" s="169"/>
      <c r="I282" s="168"/>
      <c r="J282" s="169"/>
      <c r="K282" s="169"/>
      <c r="L282" s="169"/>
      <c r="M282" s="71"/>
    </row>
    <row r="283" ht="15.75" customHeight="1">
      <c r="A283" s="168"/>
      <c r="B283" s="168"/>
      <c r="C283" s="168"/>
      <c r="D283" s="168"/>
      <c r="E283" s="168"/>
      <c r="F283" s="168"/>
      <c r="G283" s="168"/>
      <c r="H283" s="169"/>
      <c r="I283" s="168"/>
      <c r="J283" s="169"/>
      <c r="K283" s="169"/>
      <c r="L283" s="169"/>
      <c r="M283" s="71"/>
    </row>
    <row r="284" ht="15.75" customHeight="1">
      <c r="A284" s="168"/>
      <c r="B284" s="168"/>
      <c r="C284" s="168"/>
      <c r="D284" s="168"/>
      <c r="E284" s="168"/>
      <c r="F284" s="168"/>
      <c r="G284" s="168"/>
      <c r="H284" s="169"/>
      <c r="I284" s="168"/>
      <c r="J284" s="169"/>
      <c r="K284" s="169"/>
      <c r="L284" s="169"/>
      <c r="M284" s="71"/>
    </row>
    <row r="285" ht="15.75" customHeight="1">
      <c r="A285" s="168"/>
      <c r="B285" s="168"/>
      <c r="C285" s="168"/>
      <c r="D285" s="168"/>
      <c r="E285" s="168"/>
      <c r="F285" s="168"/>
      <c r="G285" s="168"/>
      <c r="H285" s="169"/>
      <c r="I285" s="168"/>
      <c r="J285" s="169"/>
      <c r="K285" s="169"/>
      <c r="L285" s="169"/>
      <c r="M285" s="71"/>
    </row>
    <row r="286" ht="15.75" customHeight="1">
      <c r="A286" s="168"/>
      <c r="B286" s="168"/>
      <c r="C286" s="168"/>
      <c r="D286" s="168"/>
      <c r="E286" s="168"/>
      <c r="F286" s="168"/>
      <c r="G286" s="168"/>
      <c r="H286" s="169"/>
      <c r="I286" s="168"/>
      <c r="J286" s="169"/>
      <c r="K286" s="169"/>
      <c r="L286" s="169"/>
      <c r="M286" s="71"/>
    </row>
    <row r="287" ht="15.75" customHeight="1">
      <c r="A287" s="168"/>
      <c r="B287" s="168"/>
      <c r="C287" s="168"/>
      <c r="D287" s="168"/>
      <c r="E287" s="168"/>
      <c r="F287" s="168"/>
      <c r="G287" s="168"/>
      <c r="H287" s="169"/>
      <c r="I287" s="168"/>
      <c r="J287" s="169"/>
      <c r="K287" s="169"/>
      <c r="L287" s="169"/>
      <c r="M287" s="71"/>
    </row>
    <row r="288" ht="15.75" customHeight="1">
      <c r="A288" s="168"/>
      <c r="B288" s="168"/>
      <c r="C288" s="168"/>
      <c r="D288" s="168"/>
      <c r="E288" s="168"/>
      <c r="F288" s="168"/>
      <c r="G288" s="168"/>
      <c r="H288" s="169"/>
      <c r="I288" s="168"/>
      <c r="J288" s="169"/>
      <c r="K288" s="169"/>
      <c r="L288" s="169"/>
      <c r="M288" s="71"/>
    </row>
    <row r="289" ht="15.75" customHeight="1">
      <c r="A289" s="168"/>
      <c r="B289" s="168"/>
      <c r="C289" s="168"/>
      <c r="D289" s="168"/>
      <c r="E289" s="168"/>
      <c r="F289" s="168"/>
      <c r="G289" s="168"/>
      <c r="H289" s="169"/>
      <c r="I289" s="168"/>
      <c r="J289" s="169"/>
      <c r="K289" s="169"/>
      <c r="L289" s="169"/>
      <c r="M289" s="71"/>
    </row>
    <row r="290" ht="15.75" customHeight="1">
      <c r="A290" s="168"/>
      <c r="B290" s="168"/>
      <c r="C290" s="168"/>
      <c r="D290" s="168"/>
      <c r="E290" s="168"/>
      <c r="F290" s="168"/>
      <c r="G290" s="168"/>
      <c r="H290" s="169"/>
      <c r="I290" s="168"/>
      <c r="J290" s="169"/>
      <c r="K290" s="169"/>
      <c r="L290" s="169"/>
      <c r="M290" s="71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69"/>
  <mergeCells count="14">
    <mergeCell ref="A77:D77"/>
    <mergeCell ref="A79:D79"/>
    <mergeCell ref="A80:D80"/>
    <mergeCell ref="A81:D81"/>
    <mergeCell ref="A82:D82"/>
    <mergeCell ref="A83:D83"/>
    <mergeCell ref="A84:D84"/>
    <mergeCell ref="E1:K1"/>
    <mergeCell ref="A71:D71"/>
    <mergeCell ref="A72:D72"/>
    <mergeCell ref="A73:D73"/>
    <mergeCell ref="A74:D74"/>
    <mergeCell ref="A75:D75"/>
    <mergeCell ref="A76:D76"/>
  </mergeCells>
  <conditionalFormatting sqref="E4:L69">
    <cfRule type="expression" dxfId="0" priority="1">
      <formula>E4&gt;=50</formula>
    </cfRule>
  </conditionalFormatting>
  <conditionalFormatting sqref="E4:L69">
    <cfRule type="expression" dxfId="3" priority="2">
      <formula>E4&lt;50</formula>
    </cfRule>
  </conditionalFormatting>
  <hyperlinks>
    <hyperlink r:id="rId1" ref="A2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6.63"/>
    <col customWidth="1" min="3" max="3" width="13.13"/>
    <col customWidth="1" min="4" max="4" width="18.63"/>
    <col customWidth="1" hidden="1" min="5" max="5" width="8.5"/>
    <col customWidth="1" hidden="1" min="6" max="6" width="7.75"/>
    <col customWidth="1" hidden="1" min="7" max="7" width="9.38"/>
    <col customWidth="1" hidden="1" min="8" max="8" width="10.75"/>
    <col customWidth="1" hidden="1" min="9" max="9" width="7.5"/>
    <col customWidth="1" hidden="1" min="10" max="11" width="10.75"/>
    <col customWidth="1" min="12" max="12" width="10.75"/>
    <col customWidth="1" min="13" max="13" width="11.0"/>
  </cols>
  <sheetData>
    <row r="1" ht="15.75" customHeight="1">
      <c r="A1" s="170" t="s">
        <v>301</v>
      </c>
      <c r="B1" s="170"/>
      <c r="C1" s="170"/>
      <c r="D1" s="170"/>
      <c r="E1" s="171"/>
      <c r="F1" s="171"/>
      <c r="G1" s="171"/>
      <c r="H1" s="172"/>
      <c r="I1" s="172"/>
      <c r="J1" s="169"/>
      <c r="K1" s="169"/>
      <c r="L1" s="169"/>
    </row>
    <row r="2" ht="15.75" customHeight="1">
      <c r="A2" s="173"/>
      <c r="B2" s="174"/>
      <c r="C2" s="174"/>
      <c r="D2" s="174"/>
      <c r="E2" s="175" t="s">
        <v>4</v>
      </c>
      <c r="F2" s="176"/>
      <c r="G2" s="176"/>
      <c r="H2" s="176"/>
      <c r="I2" s="176"/>
      <c r="J2" s="176"/>
      <c r="K2" s="177"/>
    </row>
    <row r="3" ht="15.75" customHeight="1">
      <c r="A3" s="178" t="s">
        <v>0</v>
      </c>
      <c r="B3" s="148" t="s">
        <v>1</v>
      </c>
      <c r="C3" s="148" t="s">
        <v>162</v>
      </c>
      <c r="D3" s="179" t="s">
        <v>3</v>
      </c>
      <c r="E3" s="152" t="s">
        <v>5</v>
      </c>
      <c r="F3" s="152" t="s">
        <v>6</v>
      </c>
      <c r="G3" s="152" t="s">
        <v>7</v>
      </c>
      <c r="H3" s="152" t="s">
        <v>8</v>
      </c>
      <c r="I3" s="152" t="s">
        <v>9</v>
      </c>
      <c r="J3" s="152" t="s">
        <v>163</v>
      </c>
      <c r="K3" s="180" t="s">
        <v>163</v>
      </c>
      <c r="L3" s="180" t="s">
        <v>163</v>
      </c>
    </row>
    <row r="4" ht="15.75" customHeight="1">
      <c r="A4" s="181"/>
      <c r="B4" s="151"/>
      <c r="C4" s="151"/>
      <c r="D4" s="182"/>
      <c r="E4" s="152" t="s">
        <v>164</v>
      </c>
      <c r="F4" s="152" t="s">
        <v>165</v>
      </c>
      <c r="G4" s="152" t="s">
        <v>166</v>
      </c>
      <c r="H4" s="152" t="s">
        <v>167</v>
      </c>
      <c r="I4" s="152" t="s">
        <v>168</v>
      </c>
      <c r="J4" s="152" t="s">
        <v>169</v>
      </c>
      <c r="K4" s="180" t="s">
        <v>170</v>
      </c>
      <c r="L4" s="180" t="s">
        <v>171</v>
      </c>
    </row>
    <row r="5" ht="15.75" customHeight="1">
      <c r="A5" s="154">
        <v>1.0</v>
      </c>
      <c r="B5" s="155">
        <v>9290.0</v>
      </c>
      <c r="C5" s="156" t="s">
        <v>302</v>
      </c>
      <c r="D5" s="183" t="s">
        <v>303</v>
      </c>
      <c r="E5" s="94"/>
      <c r="F5" s="94">
        <v>68.0</v>
      </c>
      <c r="G5" s="184">
        <v>71.0</v>
      </c>
      <c r="H5" s="95" t="s">
        <v>27</v>
      </c>
      <c r="I5" s="94">
        <v>79.0</v>
      </c>
      <c r="J5" s="94">
        <v>54.0</v>
      </c>
      <c r="K5" s="185">
        <f t="shared" ref="K5:K6" si="1">L5/60*100</f>
        <v>85</v>
      </c>
      <c r="L5" s="94">
        <v>51.0</v>
      </c>
      <c r="M5" s="71">
        <f t="shared" ref="M5:M64" si="2">COUNTIF(E5:J5,"AB")+COUNTIF(E5:J5,"&lt;50")</f>
        <v>1</v>
      </c>
    </row>
    <row r="6" ht="15.75" customHeight="1">
      <c r="A6" s="154">
        <v>2.0</v>
      </c>
      <c r="B6" s="155">
        <v>9349.0</v>
      </c>
      <c r="C6" s="156" t="s">
        <v>304</v>
      </c>
      <c r="D6" s="183" t="s">
        <v>305</v>
      </c>
      <c r="E6" s="94"/>
      <c r="F6" s="94">
        <v>50.0</v>
      </c>
      <c r="G6" s="184">
        <v>57.0</v>
      </c>
      <c r="H6" s="95">
        <v>60.0</v>
      </c>
      <c r="I6" s="94">
        <v>60.0</v>
      </c>
      <c r="J6" s="94">
        <v>32.0</v>
      </c>
      <c r="K6" s="185">
        <f t="shared" si="1"/>
        <v>81.66666667</v>
      </c>
      <c r="L6" s="94">
        <v>49.0</v>
      </c>
      <c r="M6" s="71">
        <f t="shared" si="2"/>
        <v>1</v>
      </c>
    </row>
    <row r="7" ht="15.75" customHeight="1">
      <c r="A7" s="154">
        <v>3.0</v>
      </c>
      <c r="B7" s="155">
        <v>9322.0</v>
      </c>
      <c r="C7" s="156" t="s">
        <v>306</v>
      </c>
      <c r="D7" s="183" t="s">
        <v>307</v>
      </c>
      <c r="E7" s="94"/>
      <c r="F7" s="94" t="s">
        <v>27</v>
      </c>
      <c r="G7" s="184">
        <v>24.0</v>
      </c>
      <c r="H7" s="95">
        <v>44.0</v>
      </c>
      <c r="I7" s="94">
        <v>21.0</v>
      </c>
      <c r="J7" s="94" t="s">
        <v>27</v>
      </c>
      <c r="K7" s="185" t="s">
        <v>27</v>
      </c>
      <c r="L7" s="94" t="s">
        <v>27</v>
      </c>
      <c r="M7" s="71">
        <f t="shared" si="2"/>
        <v>5</v>
      </c>
    </row>
    <row r="8" ht="15.75" customHeight="1">
      <c r="A8" s="154">
        <v>4.0</v>
      </c>
      <c r="B8" s="155">
        <v>9408.0</v>
      </c>
      <c r="C8" s="156" t="s">
        <v>308</v>
      </c>
      <c r="D8" s="183" t="s">
        <v>309</v>
      </c>
      <c r="E8" s="94"/>
      <c r="F8" s="94">
        <v>94.0</v>
      </c>
      <c r="G8" s="186">
        <v>86.0</v>
      </c>
      <c r="H8" s="95">
        <v>86.0</v>
      </c>
      <c r="I8" s="94">
        <v>94.0</v>
      </c>
      <c r="J8" s="94">
        <v>74.0</v>
      </c>
      <c r="K8" s="185">
        <f t="shared" ref="K8:K18" si="3">L8/60*100</f>
        <v>90</v>
      </c>
      <c r="L8" s="94">
        <v>54.0</v>
      </c>
      <c r="M8" s="71">
        <f t="shared" si="2"/>
        <v>0</v>
      </c>
    </row>
    <row r="9" ht="15.75" customHeight="1">
      <c r="A9" s="154">
        <v>5.0</v>
      </c>
      <c r="B9" s="155">
        <v>9430.0</v>
      </c>
      <c r="C9" s="156" t="s">
        <v>310</v>
      </c>
      <c r="D9" s="183" t="s">
        <v>311</v>
      </c>
      <c r="E9" s="94"/>
      <c r="F9" s="94">
        <v>65.0</v>
      </c>
      <c r="G9" s="186">
        <v>57.0</v>
      </c>
      <c r="H9" s="95">
        <v>56.0</v>
      </c>
      <c r="I9" s="94">
        <v>72.0</v>
      </c>
      <c r="J9" s="94">
        <v>58.0</v>
      </c>
      <c r="K9" s="185">
        <f t="shared" si="3"/>
        <v>85</v>
      </c>
      <c r="L9" s="94">
        <v>51.0</v>
      </c>
      <c r="M9" s="71">
        <f t="shared" si="2"/>
        <v>0</v>
      </c>
      <c r="P9" s="157"/>
    </row>
    <row r="10" ht="15.75" customHeight="1">
      <c r="A10" s="154">
        <v>6.0</v>
      </c>
      <c r="B10" s="155">
        <v>9399.0</v>
      </c>
      <c r="C10" s="156" t="s">
        <v>312</v>
      </c>
      <c r="D10" s="183" t="s">
        <v>313</v>
      </c>
      <c r="E10" s="94"/>
      <c r="F10" s="94">
        <v>50.0</v>
      </c>
      <c r="G10" s="186">
        <v>51.0</v>
      </c>
      <c r="H10" s="95">
        <v>9.0</v>
      </c>
      <c r="I10" s="94">
        <v>52.0</v>
      </c>
      <c r="J10" s="94">
        <v>28.0</v>
      </c>
      <c r="K10" s="185">
        <f t="shared" si="3"/>
        <v>70</v>
      </c>
      <c r="L10" s="94">
        <v>42.0</v>
      </c>
      <c r="M10" s="71">
        <f t="shared" si="2"/>
        <v>2</v>
      </c>
      <c r="P10" s="157"/>
    </row>
    <row r="11" ht="15.75" customHeight="1">
      <c r="A11" s="154">
        <v>7.0</v>
      </c>
      <c r="B11" s="155">
        <v>9151.0</v>
      </c>
      <c r="C11" s="156" t="s">
        <v>314</v>
      </c>
      <c r="D11" s="183" t="s">
        <v>315</v>
      </c>
      <c r="E11" s="94"/>
      <c r="F11" s="94">
        <v>22.0</v>
      </c>
      <c r="G11" s="184">
        <v>15.0</v>
      </c>
      <c r="H11" s="95" t="s">
        <v>27</v>
      </c>
      <c r="I11" s="94">
        <v>35.0</v>
      </c>
      <c r="J11" s="94">
        <v>50.0</v>
      </c>
      <c r="K11" s="185">
        <f t="shared" si="3"/>
        <v>53.33333333</v>
      </c>
      <c r="L11" s="94">
        <v>32.0</v>
      </c>
      <c r="M11" s="71">
        <f t="shared" si="2"/>
        <v>4</v>
      </c>
      <c r="P11" s="157"/>
    </row>
    <row r="12" ht="15.75" customHeight="1">
      <c r="A12" s="154">
        <v>8.0</v>
      </c>
      <c r="B12" s="155">
        <v>9156.0</v>
      </c>
      <c r="C12" s="156" t="s">
        <v>316</v>
      </c>
      <c r="D12" s="183" t="s">
        <v>317</v>
      </c>
      <c r="E12" s="94"/>
      <c r="F12" s="94">
        <v>30.0</v>
      </c>
      <c r="G12" s="186">
        <v>50.0</v>
      </c>
      <c r="H12" s="95">
        <v>53.0</v>
      </c>
      <c r="I12" s="184" t="s">
        <v>27</v>
      </c>
      <c r="J12" s="94">
        <v>22.0</v>
      </c>
      <c r="K12" s="185">
        <f t="shared" si="3"/>
        <v>66.66666667</v>
      </c>
      <c r="L12" s="94">
        <v>40.0</v>
      </c>
      <c r="M12" s="71">
        <f t="shared" si="2"/>
        <v>3</v>
      </c>
      <c r="P12" s="157"/>
    </row>
    <row r="13" ht="15.75" customHeight="1">
      <c r="A13" s="154">
        <v>9.0</v>
      </c>
      <c r="B13" s="155">
        <v>9128.0</v>
      </c>
      <c r="C13" s="156" t="s">
        <v>318</v>
      </c>
      <c r="D13" s="183" t="s">
        <v>319</v>
      </c>
      <c r="E13" s="94"/>
      <c r="F13" s="94">
        <v>27.0</v>
      </c>
      <c r="G13" s="184" t="s">
        <v>27</v>
      </c>
      <c r="H13" s="95">
        <v>16.0</v>
      </c>
      <c r="I13" s="184" t="s">
        <v>27</v>
      </c>
      <c r="J13" s="94">
        <v>5.0</v>
      </c>
      <c r="K13" s="185">
        <f t="shared" si="3"/>
        <v>50</v>
      </c>
      <c r="L13" s="94">
        <v>30.0</v>
      </c>
      <c r="M13" s="71">
        <f t="shared" si="2"/>
        <v>5</v>
      </c>
      <c r="P13" s="157"/>
      <c r="Q13" s="161">
        <f>COUNTIF(M5:M64,"1")</f>
        <v>8</v>
      </c>
      <c r="R13" s="161">
        <v>2.0</v>
      </c>
      <c r="S13" s="161">
        <f>COUNTIF(M4:M63,"2")</f>
        <v>9</v>
      </c>
    </row>
    <row r="14" ht="15.75" customHeight="1">
      <c r="A14" s="154">
        <v>10.0</v>
      </c>
      <c r="B14" s="155">
        <v>9116.0</v>
      </c>
      <c r="C14" s="156" t="s">
        <v>320</v>
      </c>
      <c r="D14" s="183" t="s">
        <v>321</v>
      </c>
      <c r="E14" s="94"/>
      <c r="F14" s="94" t="s">
        <v>27</v>
      </c>
      <c r="G14" s="184">
        <v>1.0</v>
      </c>
      <c r="H14" s="95">
        <v>8.0</v>
      </c>
      <c r="I14" s="94">
        <v>20.0</v>
      </c>
      <c r="J14" s="94">
        <v>6.0</v>
      </c>
      <c r="K14" s="185">
        <f t="shared" si="3"/>
        <v>60</v>
      </c>
      <c r="L14" s="94">
        <v>36.0</v>
      </c>
      <c r="M14" s="71">
        <f t="shared" si="2"/>
        <v>5</v>
      </c>
      <c r="P14" s="157"/>
      <c r="R14" s="161">
        <v>3.0</v>
      </c>
      <c r="S14" s="161">
        <f>COUNTIF(M5:M64,"3")</f>
        <v>7</v>
      </c>
    </row>
    <row r="15" ht="15.75" customHeight="1">
      <c r="A15" s="154">
        <v>11.0</v>
      </c>
      <c r="B15" s="155">
        <v>9414.0</v>
      </c>
      <c r="C15" s="156" t="s">
        <v>322</v>
      </c>
      <c r="D15" s="183" t="s">
        <v>323</v>
      </c>
      <c r="E15" s="94"/>
      <c r="F15" s="94">
        <v>94.0</v>
      </c>
      <c r="G15" s="186">
        <v>79.0</v>
      </c>
      <c r="H15" s="95">
        <v>66.0</v>
      </c>
      <c r="I15" s="94">
        <v>79.0</v>
      </c>
      <c r="J15" s="94">
        <v>75.0</v>
      </c>
      <c r="K15" s="185">
        <f t="shared" si="3"/>
        <v>86.66666667</v>
      </c>
      <c r="L15" s="94">
        <v>52.0</v>
      </c>
      <c r="M15" s="71">
        <f t="shared" si="2"/>
        <v>0</v>
      </c>
      <c r="P15" s="157"/>
      <c r="R15" s="161">
        <v>1.0</v>
      </c>
      <c r="S15" s="161">
        <f>COUNTIF(M5:M65,"1")</f>
        <v>8</v>
      </c>
    </row>
    <row r="16" ht="15.75" customHeight="1">
      <c r="A16" s="154">
        <v>12.0</v>
      </c>
      <c r="B16" s="155">
        <v>9435.0</v>
      </c>
      <c r="C16" s="156" t="s">
        <v>324</v>
      </c>
      <c r="D16" s="183" t="s">
        <v>325</v>
      </c>
      <c r="E16" s="94"/>
      <c r="F16" s="94">
        <v>65.0</v>
      </c>
      <c r="G16" s="186">
        <v>52.0</v>
      </c>
      <c r="H16" s="95">
        <v>57.0</v>
      </c>
      <c r="I16" s="94">
        <v>84.0</v>
      </c>
      <c r="J16" s="94">
        <v>50.0</v>
      </c>
      <c r="K16" s="185">
        <f t="shared" si="3"/>
        <v>85</v>
      </c>
      <c r="L16" s="94">
        <v>51.0</v>
      </c>
      <c r="M16" s="71">
        <f t="shared" si="2"/>
        <v>0</v>
      </c>
      <c r="P16" s="157"/>
      <c r="R16" s="161">
        <v>0.0</v>
      </c>
      <c r="S16" s="161">
        <f>COUNTIF(M5:M64,"0")</f>
        <v>19</v>
      </c>
    </row>
    <row r="17" ht="15.75" customHeight="1">
      <c r="A17" s="154">
        <v>13.0</v>
      </c>
      <c r="B17" s="155">
        <v>9238.0</v>
      </c>
      <c r="C17" s="156" t="s">
        <v>326</v>
      </c>
      <c r="D17" s="183" t="s">
        <v>327</v>
      </c>
      <c r="E17" s="94"/>
      <c r="F17" s="94">
        <v>57.0</v>
      </c>
      <c r="G17" s="186">
        <v>52.0</v>
      </c>
      <c r="H17" s="95">
        <v>54.0</v>
      </c>
      <c r="I17" s="94">
        <v>67.0</v>
      </c>
      <c r="J17" s="94">
        <v>60.0</v>
      </c>
      <c r="K17" s="185">
        <f t="shared" si="3"/>
        <v>78.33333333</v>
      </c>
      <c r="L17" s="94">
        <v>47.0</v>
      </c>
      <c r="M17" s="71">
        <f t="shared" si="2"/>
        <v>0</v>
      </c>
      <c r="P17" s="157"/>
      <c r="R17" s="161">
        <v>4.0</v>
      </c>
      <c r="S17" s="161">
        <f>COUNTIF(M5:M64,"4")</f>
        <v>7</v>
      </c>
    </row>
    <row r="18" ht="15.75" customHeight="1">
      <c r="A18" s="154">
        <v>14.0</v>
      </c>
      <c r="B18" s="155">
        <v>9378.0</v>
      </c>
      <c r="C18" s="156" t="s">
        <v>328</v>
      </c>
      <c r="D18" s="183" t="s">
        <v>329</v>
      </c>
      <c r="E18" s="94"/>
      <c r="F18" s="94">
        <v>86.0</v>
      </c>
      <c r="G18" s="186">
        <v>80.0</v>
      </c>
      <c r="H18" s="95">
        <v>85.0</v>
      </c>
      <c r="I18" s="94">
        <v>93.0</v>
      </c>
      <c r="J18" s="94">
        <v>73.0</v>
      </c>
      <c r="K18" s="185">
        <f t="shared" si="3"/>
        <v>90</v>
      </c>
      <c r="L18" s="94">
        <v>54.0</v>
      </c>
      <c r="M18" s="71">
        <f t="shared" si="2"/>
        <v>0</v>
      </c>
      <c r="P18" s="157"/>
      <c r="Q18" s="161">
        <f>16/60</f>
        <v>0.2666666667</v>
      </c>
      <c r="R18" s="161">
        <v>5.0</v>
      </c>
      <c r="S18" s="161">
        <f>COUNTIF(M5:M64,"5")</f>
        <v>10</v>
      </c>
    </row>
    <row r="19" ht="15.75" customHeight="1">
      <c r="A19" s="154">
        <v>15.0</v>
      </c>
      <c r="B19" s="155">
        <v>9252.0</v>
      </c>
      <c r="C19" s="156" t="s">
        <v>330</v>
      </c>
      <c r="D19" s="183" t="s">
        <v>331</v>
      </c>
      <c r="E19" s="94"/>
      <c r="F19" s="94">
        <v>65.0</v>
      </c>
      <c r="G19" s="186" t="s">
        <v>27</v>
      </c>
      <c r="H19" s="95" t="s">
        <v>27</v>
      </c>
      <c r="I19" s="184" t="s">
        <v>27</v>
      </c>
      <c r="J19" s="94" t="s">
        <v>27</v>
      </c>
      <c r="K19" s="185" t="s">
        <v>27</v>
      </c>
      <c r="L19" s="94" t="s">
        <v>27</v>
      </c>
      <c r="M19" s="71">
        <f t="shared" si="2"/>
        <v>4</v>
      </c>
      <c r="P19" s="157"/>
      <c r="R19" s="161">
        <v>6.0</v>
      </c>
      <c r="S19" s="161">
        <f>COUNTIF(M5:M64,"6")</f>
        <v>0</v>
      </c>
    </row>
    <row r="20" ht="15.75" customHeight="1">
      <c r="A20" s="154">
        <v>16.0</v>
      </c>
      <c r="B20" s="155">
        <v>9511.0</v>
      </c>
      <c r="C20" s="156" t="s">
        <v>332</v>
      </c>
      <c r="D20" s="183" t="s">
        <v>333</v>
      </c>
      <c r="E20" s="94"/>
      <c r="F20" s="94">
        <v>72.0</v>
      </c>
      <c r="G20" s="186">
        <v>50.0</v>
      </c>
      <c r="H20" s="95">
        <v>67.0</v>
      </c>
      <c r="I20" s="94">
        <v>75.0</v>
      </c>
      <c r="J20" s="94">
        <v>62.0</v>
      </c>
      <c r="K20" s="185">
        <f t="shared" ref="K20:K22" si="4">L20/60*100</f>
        <v>86.66666667</v>
      </c>
      <c r="L20" s="94">
        <v>52.0</v>
      </c>
      <c r="M20" s="71">
        <f t="shared" si="2"/>
        <v>0</v>
      </c>
      <c r="P20" s="157"/>
    </row>
    <row r="21" ht="15.75" customHeight="1">
      <c r="A21" s="154">
        <v>17.0</v>
      </c>
      <c r="B21" s="155">
        <v>9303.0</v>
      </c>
      <c r="C21" s="156" t="s">
        <v>334</v>
      </c>
      <c r="D21" s="183" t="s">
        <v>335</v>
      </c>
      <c r="E21" s="94"/>
      <c r="F21" s="94">
        <v>85.0</v>
      </c>
      <c r="G21" s="186">
        <v>83.0</v>
      </c>
      <c r="H21" s="95">
        <v>77.0</v>
      </c>
      <c r="I21" s="94">
        <v>81.0</v>
      </c>
      <c r="J21" s="94">
        <v>77.0</v>
      </c>
      <c r="K21" s="185">
        <f t="shared" si="4"/>
        <v>91.66666667</v>
      </c>
      <c r="L21" s="94">
        <v>55.0</v>
      </c>
      <c r="M21" s="71">
        <f t="shared" si="2"/>
        <v>0</v>
      </c>
      <c r="P21" s="157"/>
      <c r="Q21" s="161">
        <f>COUNTIF(M5:M64,"0")</f>
        <v>19</v>
      </c>
    </row>
    <row r="22" ht="15.75" customHeight="1">
      <c r="A22" s="154">
        <v>18.0</v>
      </c>
      <c r="B22" s="155">
        <v>9160.0</v>
      </c>
      <c r="C22" s="156" t="s">
        <v>336</v>
      </c>
      <c r="D22" s="183" t="s">
        <v>337</v>
      </c>
      <c r="E22" s="94"/>
      <c r="F22" s="94">
        <v>63.0</v>
      </c>
      <c r="G22" s="186">
        <v>53.0</v>
      </c>
      <c r="H22" s="95">
        <v>70.0</v>
      </c>
      <c r="I22" s="94">
        <v>77.0</v>
      </c>
      <c r="J22" s="94">
        <v>64.0</v>
      </c>
      <c r="K22" s="185">
        <f t="shared" si="4"/>
        <v>78.33333333</v>
      </c>
      <c r="L22" s="94">
        <v>47.0</v>
      </c>
      <c r="M22" s="71">
        <f t="shared" si="2"/>
        <v>0</v>
      </c>
      <c r="P22" s="157"/>
    </row>
    <row r="23" ht="15.75" customHeight="1">
      <c r="A23" s="154">
        <v>19.0</v>
      </c>
      <c r="B23" s="155">
        <v>9126.0</v>
      </c>
      <c r="C23" s="156" t="s">
        <v>338</v>
      </c>
      <c r="D23" s="183" t="s">
        <v>339</v>
      </c>
      <c r="E23" s="94"/>
      <c r="F23" s="94">
        <v>65.0</v>
      </c>
      <c r="G23" s="186">
        <v>54.0</v>
      </c>
      <c r="H23" s="95" t="s">
        <v>27</v>
      </c>
      <c r="I23" s="184" t="s">
        <v>27</v>
      </c>
      <c r="J23" s="94" t="s">
        <v>27</v>
      </c>
      <c r="K23" s="185" t="s">
        <v>27</v>
      </c>
      <c r="L23" s="94" t="s">
        <v>27</v>
      </c>
      <c r="M23" s="71">
        <f t="shared" si="2"/>
        <v>3</v>
      </c>
      <c r="P23" s="157"/>
    </row>
    <row r="24" ht="15.75" customHeight="1">
      <c r="A24" s="154">
        <v>20.0</v>
      </c>
      <c r="B24" s="155">
        <v>9158.0</v>
      </c>
      <c r="C24" s="156" t="s">
        <v>340</v>
      </c>
      <c r="D24" s="183" t="s">
        <v>341</v>
      </c>
      <c r="E24" s="94"/>
      <c r="F24" s="94">
        <v>70.0</v>
      </c>
      <c r="G24" s="186">
        <v>71.0</v>
      </c>
      <c r="H24" s="95">
        <v>75.0</v>
      </c>
      <c r="I24" s="94">
        <v>89.0</v>
      </c>
      <c r="J24" s="94">
        <v>58.0</v>
      </c>
      <c r="K24" s="185">
        <f t="shared" ref="K24:K32" si="5">L24/60*100</f>
        <v>86.66666667</v>
      </c>
      <c r="L24" s="94">
        <v>52.0</v>
      </c>
      <c r="M24" s="71">
        <f t="shared" si="2"/>
        <v>0</v>
      </c>
      <c r="P24" s="157"/>
    </row>
    <row r="25" ht="15.75" customHeight="1">
      <c r="A25" s="154">
        <v>21.0</v>
      </c>
      <c r="B25" s="155">
        <v>9402.0</v>
      </c>
      <c r="C25" s="156" t="s">
        <v>342</v>
      </c>
      <c r="D25" s="183" t="s">
        <v>343</v>
      </c>
      <c r="E25" s="94"/>
      <c r="F25" s="94" t="s">
        <v>27</v>
      </c>
      <c r="G25" s="186" t="s">
        <v>27</v>
      </c>
      <c r="H25" s="95">
        <v>73.0</v>
      </c>
      <c r="I25" s="94">
        <v>88.0</v>
      </c>
      <c r="J25" s="94">
        <v>75.0</v>
      </c>
      <c r="K25" s="185">
        <f t="shared" si="5"/>
        <v>86.66666667</v>
      </c>
      <c r="L25" s="94">
        <v>52.0</v>
      </c>
      <c r="M25" s="71">
        <f t="shared" si="2"/>
        <v>2</v>
      </c>
      <c r="P25" s="157"/>
    </row>
    <row r="26" ht="15.75" customHeight="1">
      <c r="A26" s="154">
        <v>22.0</v>
      </c>
      <c r="B26" s="155">
        <v>9282.0</v>
      </c>
      <c r="C26" s="156" t="s">
        <v>344</v>
      </c>
      <c r="D26" s="183" t="s">
        <v>345</v>
      </c>
      <c r="E26" s="94"/>
      <c r="F26" s="94">
        <v>13.0</v>
      </c>
      <c r="G26" s="184">
        <v>7.0</v>
      </c>
      <c r="H26" s="95">
        <v>11.0</v>
      </c>
      <c r="I26" s="94">
        <v>29.0</v>
      </c>
      <c r="J26" s="94">
        <v>21.0</v>
      </c>
      <c r="K26" s="185">
        <f t="shared" si="5"/>
        <v>61.66666667</v>
      </c>
      <c r="L26" s="94">
        <v>37.0</v>
      </c>
      <c r="M26" s="71">
        <f t="shared" si="2"/>
        <v>5</v>
      </c>
      <c r="P26" s="157"/>
    </row>
    <row r="27" ht="15.75" customHeight="1">
      <c r="A27" s="154">
        <v>23.0</v>
      </c>
      <c r="B27" s="155">
        <v>9271.0</v>
      </c>
      <c r="C27" s="156" t="s">
        <v>346</v>
      </c>
      <c r="D27" s="183" t="s">
        <v>347</v>
      </c>
      <c r="E27" s="94"/>
      <c r="F27" s="94">
        <v>55.0</v>
      </c>
      <c r="G27" s="186">
        <v>52.0</v>
      </c>
      <c r="H27" s="95">
        <v>72.0</v>
      </c>
      <c r="I27" s="94">
        <v>72.0</v>
      </c>
      <c r="J27" s="94">
        <v>68.0</v>
      </c>
      <c r="K27" s="185">
        <f t="shared" si="5"/>
        <v>85</v>
      </c>
      <c r="L27" s="94">
        <v>51.0</v>
      </c>
      <c r="M27" s="71">
        <f t="shared" si="2"/>
        <v>0</v>
      </c>
      <c r="P27" s="157"/>
    </row>
    <row r="28" ht="15.75" customHeight="1">
      <c r="A28" s="154">
        <v>24.0</v>
      </c>
      <c r="B28" s="155">
        <v>9302.0</v>
      </c>
      <c r="C28" s="156" t="s">
        <v>348</v>
      </c>
      <c r="D28" s="183" t="s">
        <v>349</v>
      </c>
      <c r="E28" s="94"/>
      <c r="F28" s="94">
        <v>60.0</v>
      </c>
      <c r="G28" s="186">
        <v>38.0</v>
      </c>
      <c r="H28" s="95">
        <v>44.0</v>
      </c>
      <c r="I28" s="94">
        <v>63.0</v>
      </c>
      <c r="J28" s="94">
        <v>51.0</v>
      </c>
      <c r="K28" s="185">
        <f t="shared" si="5"/>
        <v>76.66666667</v>
      </c>
      <c r="L28" s="94">
        <v>46.0</v>
      </c>
      <c r="M28" s="71">
        <f t="shared" si="2"/>
        <v>2</v>
      </c>
      <c r="P28" s="157"/>
    </row>
    <row r="29" ht="15.75" customHeight="1">
      <c r="A29" s="154">
        <v>25.0</v>
      </c>
      <c r="B29" s="155">
        <v>9263.0</v>
      </c>
      <c r="C29" s="156" t="s">
        <v>350</v>
      </c>
      <c r="D29" s="183" t="s">
        <v>351</v>
      </c>
      <c r="E29" s="94"/>
      <c r="F29" s="94">
        <v>36.0</v>
      </c>
      <c r="G29" s="184">
        <v>29.0</v>
      </c>
      <c r="H29" s="95">
        <v>28.0</v>
      </c>
      <c r="I29" s="94">
        <v>60.0</v>
      </c>
      <c r="J29" s="94">
        <v>37.0</v>
      </c>
      <c r="K29" s="185">
        <f t="shared" si="5"/>
        <v>81.66666667</v>
      </c>
      <c r="L29" s="94">
        <v>49.0</v>
      </c>
      <c r="M29" s="71">
        <f t="shared" si="2"/>
        <v>4</v>
      </c>
      <c r="P29" s="157"/>
    </row>
    <row r="30" ht="15.75" customHeight="1">
      <c r="A30" s="154">
        <v>26.0</v>
      </c>
      <c r="B30" s="155">
        <v>9396.0</v>
      </c>
      <c r="C30" s="156" t="s">
        <v>352</v>
      </c>
      <c r="D30" s="183" t="s">
        <v>353</v>
      </c>
      <c r="E30" s="94"/>
      <c r="F30" s="94">
        <v>38.0</v>
      </c>
      <c r="G30" s="186">
        <v>36.0</v>
      </c>
      <c r="H30" s="95">
        <v>37.0</v>
      </c>
      <c r="I30" s="94">
        <v>65.0</v>
      </c>
      <c r="J30" s="94">
        <v>51.0</v>
      </c>
      <c r="K30" s="185">
        <f t="shared" si="5"/>
        <v>85</v>
      </c>
      <c r="L30" s="94">
        <v>51.0</v>
      </c>
      <c r="M30" s="71">
        <f t="shared" si="2"/>
        <v>3</v>
      </c>
      <c r="P30" s="157"/>
    </row>
    <row r="31" ht="15.75" customHeight="1">
      <c r="A31" s="154">
        <v>27.0</v>
      </c>
      <c r="B31" s="155">
        <v>9143.0</v>
      </c>
      <c r="C31" s="156" t="s">
        <v>354</v>
      </c>
      <c r="D31" s="183" t="s">
        <v>355</v>
      </c>
      <c r="E31" s="94"/>
      <c r="F31" s="94">
        <v>94.0</v>
      </c>
      <c r="G31" s="186">
        <v>87.0</v>
      </c>
      <c r="H31" s="95">
        <v>85.0</v>
      </c>
      <c r="I31" s="94">
        <v>94.0</v>
      </c>
      <c r="J31" s="94">
        <v>83.0</v>
      </c>
      <c r="K31" s="185">
        <f t="shared" si="5"/>
        <v>88.33333333</v>
      </c>
      <c r="L31" s="94">
        <v>53.0</v>
      </c>
      <c r="M31" s="71">
        <f t="shared" si="2"/>
        <v>0</v>
      </c>
    </row>
    <row r="32" ht="15.75" customHeight="1">
      <c r="A32" s="154">
        <v>28.0</v>
      </c>
      <c r="B32" s="155">
        <v>9164.0</v>
      </c>
      <c r="C32" s="156" t="s">
        <v>356</v>
      </c>
      <c r="D32" s="183" t="s">
        <v>357</v>
      </c>
      <c r="E32" s="94"/>
      <c r="F32" s="94">
        <v>50.0</v>
      </c>
      <c r="G32" s="186">
        <v>38.0</v>
      </c>
      <c r="H32" s="95">
        <v>43.0</v>
      </c>
      <c r="I32" s="94">
        <v>58.0</v>
      </c>
      <c r="J32" s="94">
        <v>52.0</v>
      </c>
      <c r="K32" s="185">
        <f t="shared" si="5"/>
        <v>76.66666667</v>
      </c>
      <c r="L32" s="94">
        <v>46.0</v>
      </c>
      <c r="M32" s="71">
        <f t="shared" si="2"/>
        <v>2</v>
      </c>
    </row>
    <row r="33" ht="15.75" customHeight="1">
      <c r="A33" s="154">
        <v>29.0</v>
      </c>
      <c r="B33" s="155">
        <v>9340.0</v>
      </c>
      <c r="C33" s="156" t="s">
        <v>358</v>
      </c>
      <c r="D33" s="183" t="s">
        <v>359</v>
      </c>
      <c r="E33" s="94"/>
      <c r="F33" s="94">
        <v>70.0</v>
      </c>
      <c r="G33" s="184">
        <v>26.0</v>
      </c>
      <c r="H33" s="95">
        <v>52.0</v>
      </c>
      <c r="I33" s="94">
        <v>62.0</v>
      </c>
      <c r="J33" s="94" t="s">
        <v>27</v>
      </c>
      <c r="K33" s="185" t="s">
        <v>27</v>
      </c>
      <c r="L33" s="94" t="s">
        <v>27</v>
      </c>
      <c r="M33" s="71">
        <f t="shared" si="2"/>
        <v>2</v>
      </c>
    </row>
    <row r="34" ht="15.75" customHeight="1">
      <c r="A34" s="154">
        <v>30.0</v>
      </c>
      <c r="B34" s="155">
        <v>9365.0</v>
      </c>
      <c r="C34" s="156" t="s">
        <v>360</v>
      </c>
      <c r="D34" s="183" t="s">
        <v>361</v>
      </c>
      <c r="E34" s="94"/>
      <c r="F34" s="94">
        <v>39.0</v>
      </c>
      <c r="G34" s="184">
        <v>10.0</v>
      </c>
      <c r="H34" s="95">
        <v>36.0</v>
      </c>
      <c r="I34" s="94">
        <v>62.0</v>
      </c>
      <c r="J34" s="94">
        <v>23.0</v>
      </c>
      <c r="K34" s="185">
        <f t="shared" ref="K34:K36" si="6">L34/60*100</f>
        <v>70</v>
      </c>
      <c r="L34" s="94">
        <v>42.0</v>
      </c>
      <c r="M34" s="71">
        <f t="shared" si="2"/>
        <v>4</v>
      </c>
    </row>
    <row r="35" ht="15.75" customHeight="1">
      <c r="A35" s="154">
        <v>31.0</v>
      </c>
      <c r="B35" s="155">
        <v>9115.0</v>
      </c>
      <c r="C35" s="156" t="s">
        <v>362</v>
      </c>
      <c r="D35" s="183" t="s">
        <v>363</v>
      </c>
      <c r="E35" s="94"/>
      <c r="F35" s="94">
        <v>54.0</v>
      </c>
      <c r="G35" s="186">
        <v>64.0</v>
      </c>
      <c r="H35" s="95">
        <v>57.0</v>
      </c>
      <c r="I35" s="94">
        <v>77.0</v>
      </c>
      <c r="J35" s="94">
        <v>57.0</v>
      </c>
      <c r="K35" s="185">
        <f t="shared" si="6"/>
        <v>76.66666667</v>
      </c>
      <c r="L35" s="94">
        <v>46.0</v>
      </c>
      <c r="M35" s="71">
        <f t="shared" si="2"/>
        <v>0</v>
      </c>
    </row>
    <row r="36" ht="15.75" customHeight="1">
      <c r="A36" s="154">
        <v>32.0</v>
      </c>
      <c r="B36" s="155">
        <v>9363.0</v>
      </c>
      <c r="C36" s="156" t="s">
        <v>364</v>
      </c>
      <c r="D36" s="183" t="s">
        <v>365</v>
      </c>
      <c r="E36" s="94"/>
      <c r="F36" s="94">
        <v>57.0</v>
      </c>
      <c r="G36" s="184">
        <v>35.0</v>
      </c>
      <c r="H36" s="95">
        <v>73.0</v>
      </c>
      <c r="I36" s="94">
        <v>75.0</v>
      </c>
      <c r="J36" s="94">
        <v>63.0</v>
      </c>
      <c r="K36" s="185">
        <f t="shared" si="6"/>
        <v>91.66666667</v>
      </c>
      <c r="L36" s="94">
        <v>55.0</v>
      </c>
      <c r="M36" s="71">
        <f t="shared" si="2"/>
        <v>1</v>
      </c>
    </row>
    <row r="37" ht="15.75" customHeight="1">
      <c r="A37" s="154">
        <v>33.0</v>
      </c>
      <c r="B37" s="155">
        <v>9337.0</v>
      </c>
      <c r="C37" s="156" t="s">
        <v>366</v>
      </c>
      <c r="D37" s="183" t="s">
        <v>367</v>
      </c>
      <c r="E37" s="94"/>
      <c r="F37" s="94">
        <v>56.0</v>
      </c>
      <c r="G37" s="184">
        <v>23.0</v>
      </c>
      <c r="H37" s="95">
        <v>50.0</v>
      </c>
      <c r="I37" s="94">
        <v>59.0</v>
      </c>
      <c r="J37" s="94">
        <v>39.0</v>
      </c>
      <c r="K37" s="185"/>
      <c r="L37" s="94" t="s">
        <v>27</v>
      </c>
      <c r="M37" s="71">
        <f t="shared" si="2"/>
        <v>2</v>
      </c>
    </row>
    <row r="38" ht="15.75" customHeight="1">
      <c r="A38" s="154">
        <v>34.0</v>
      </c>
      <c r="B38" s="155">
        <v>9152.0</v>
      </c>
      <c r="C38" s="156" t="s">
        <v>368</v>
      </c>
      <c r="D38" s="183" t="s">
        <v>369</v>
      </c>
      <c r="E38" s="94"/>
      <c r="F38" s="94">
        <v>21.0</v>
      </c>
      <c r="G38" s="184" t="s">
        <v>27</v>
      </c>
      <c r="H38" s="95">
        <v>4.0</v>
      </c>
      <c r="I38" s="94">
        <v>50.0</v>
      </c>
      <c r="J38" s="94">
        <v>28.0</v>
      </c>
      <c r="K38" s="185">
        <f t="shared" ref="K38:K48" si="7">L38/60*100</f>
        <v>48.33333333</v>
      </c>
      <c r="L38" s="94">
        <v>29.0</v>
      </c>
      <c r="M38" s="71">
        <f t="shared" si="2"/>
        <v>4</v>
      </c>
    </row>
    <row r="39" ht="15.75" customHeight="1">
      <c r="A39" s="154">
        <v>35.0</v>
      </c>
      <c r="B39" s="155">
        <v>9417.0</v>
      </c>
      <c r="C39" s="156" t="s">
        <v>370</v>
      </c>
      <c r="D39" s="183" t="s">
        <v>371</v>
      </c>
      <c r="E39" s="94"/>
      <c r="F39" s="94">
        <v>30.0</v>
      </c>
      <c r="G39" s="184">
        <v>36.0</v>
      </c>
      <c r="H39" s="95">
        <v>42.0</v>
      </c>
      <c r="I39" s="94">
        <v>63.0</v>
      </c>
      <c r="J39" s="94">
        <v>53.0</v>
      </c>
      <c r="K39" s="185">
        <f t="shared" si="7"/>
        <v>88.33333333</v>
      </c>
      <c r="L39" s="94">
        <v>53.0</v>
      </c>
      <c r="M39" s="71">
        <f t="shared" si="2"/>
        <v>3</v>
      </c>
    </row>
    <row r="40" ht="15.75" customHeight="1">
      <c r="A40" s="154">
        <v>36.0</v>
      </c>
      <c r="B40" s="155">
        <v>9119.0</v>
      </c>
      <c r="C40" s="156" t="s">
        <v>372</v>
      </c>
      <c r="D40" s="183" t="s">
        <v>373</v>
      </c>
      <c r="E40" s="94"/>
      <c r="F40" s="94">
        <v>32.0</v>
      </c>
      <c r="G40" s="186" t="s">
        <v>27</v>
      </c>
      <c r="H40" s="95" t="s">
        <v>27</v>
      </c>
      <c r="I40" s="184" t="s">
        <v>27</v>
      </c>
      <c r="J40" s="94" t="s">
        <v>27</v>
      </c>
      <c r="K40" s="185">
        <f t="shared" si="7"/>
        <v>56.66666667</v>
      </c>
      <c r="L40" s="94">
        <v>34.0</v>
      </c>
      <c r="M40" s="71">
        <f t="shared" si="2"/>
        <v>5</v>
      </c>
    </row>
    <row r="41" ht="15.75" customHeight="1">
      <c r="A41" s="154">
        <v>37.0</v>
      </c>
      <c r="B41" s="155">
        <v>9358.0</v>
      </c>
      <c r="C41" s="156" t="s">
        <v>374</v>
      </c>
      <c r="D41" s="183" t="s">
        <v>375</v>
      </c>
      <c r="E41" s="94"/>
      <c r="F41" s="94">
        <v>94.0</v>
      </c>
      <c r="G41" s="186">
        <v>76.0</v>
      </c>
      <c r="H41" s="95">
        <v>80.0</v>
      </c>
      <c r="I41" s="94">
        <v>84.0</v>
      </c>
      <c r="J41" s="94">
        <v>78.0</v>
      </c>
      <c r="K41" s="185">
        <f t="shared" si="7"/>
        <v>85</v>
      </c>
      <c r="L41" s="94">
        <v>51.0</v>
      </c>
      <c r="M41" s="71">
        <f t="shared" si="2"/>
        <v>0</v>
      </c>
    </row>
    <row r="42" ht="15.75" customHeight="1">
      <c r="A42" s="154">
        <v>38.0</v>
      </c>
      <c r="B42" s="157">
        <v>9272.0</v>
      </c>
      <c r="C42" s="156" t="s">
        <v>376</v>
      </c>
      <c r="D42" s="183" t="s">
        <v>377</v>
      </c>
      <c r="E42" s="94"/>
      <c r="F42" s="94">
        <v>61.0</v>
      </c>
      <c r="G42" s="186">
        <v>57.0</v>
      </c>
      <c r="H42" s="95">
        <v>65.0</v>
      </c>
      <c r="I42" s="94">
        <v>63.0</v>
      </c>
      <c r="J42" s="94">
        <v>21.0</v>
      </c>
      <c r="K42" s="185">
        <f t="shared" si="7"/>
        <v>66.66666667</v>
      </c>
      <c r="L42" s="94">
        <v>40.0</v>
      </c>
      <c r="M42" s="71">
        <f t="shared" si="2"/>
        <v>1</v>
      </c>
    </row>
    <row r="43" ht="15.75" customHeight="1">
      <c r="A43" s="154">
        <v>39.0</v>
      </c>
      <c r="B43" s="155">
        <v>9244.0</v>
      </c>
      <c r="C43" s="156" t="s">
        <v>378</v>
      </c>
      <c r="D43" s="183" t="s">
        <v>379</v>
      </c>
      <c r="E43" s="94"/>
      <c r="F43" s="94">
        <v>54.0</v>
      </c>
      <c r="G43" s="184">
        <v>50.0</v>
      </c>
      <c r="H43" s="95">
        <v>31.0</v>
      </c>
      <c r="I43" s="94">
        <v>74.0</v>
      </c>
      <c r="J43" s="94">
        <v>61.0</v>
      </c>
      <c r="K43" s="185">
        <f t="shared" si="7"/>
        <v>70</v>
      </c>
      <c r="L43" s="94">
        <v>42.0</v>
      </c>
      <c r="M43" s="71">
        <f t="shared" si="2"/>
        <v>1</v>
      </c>
    </row>
    <row r="44" ht="15.75" customHeight="1">
      <c r="A44" s="154">
        <v>40.0</v>
      </c>
      <c r="B44" s="155">
        <v>9328.0</v>
      </c>
      <c r="C44" s="156" t="s">
        <v>380</v>
      </c>
      <c r="D44" s="183" t="s">
        <v>381</v>
      </c>
      <c r="E44" s="94"/>
      <c r="F44" s="94">
        <v>34.0</v>
      </c>
      <c r="G44" s="184">
        <v>20.0</v>
      </c>
      <c r="H44" s="95">
        <v>59.0</v>
      </c>
      <c r="I44" s="94">
        <v>37.0</v>
      </c>
      <c r="J44" s="94">
        <v>51.0</v>
      </c>
      <c r="K44" s="185">
        <f t="shared" si="7"/>
        <v>58.33333333</v>
      </c>
      <c r="L44" s="94">
        <v>35.0</v>
      </c>
      <c r="M44" s="71">
        <f t="shared" si="2"/>
        <v>3</v>
      </c>
    </row>
    <row r="45" ht="15.75" customHeight="1">
      <c r="A45" s="154">
        <v>41.0</v>
      </c>
      <c r="B45" s="155">
        <v>9245.0</v>
      </c>
      <c r="C45" s="156" t="s">
        <v>382</v>
      </c>
      <c r="D45" s="183" t="s">
        <v>383</v>
      </c>
      <c r="E45" s="94"/>
      <c r="F45" s="94">
        <v>24.0</v>
      </c>
      <c r="G45" s="184">
        <v>20.0</v>
      </c>
      <c r="H45" s="95">
        <v>36.0</v>
      </c>
      <c r="I45" s="94">
        <v>55.0</v>
      </c>
      <c r="J45" s="94">
        <v>10.0</v>
      </c>
      <c r="K45" s="185">
        <f t="shared" si="7"/>
        <v>80</v>
      </c>
      <c r="L45" s="94">
        <v>48.0</v>
      </c>
      <c r="M45" s="71">
        <f t="shared" si="2"/>
        <v>4</v>
      </c>
    </row>
    <row r="46" ht="15.75" customHeight="1">
      <c r="A46" s="154">
        <v>42.0</v>
      </c>
      <c r="B46" s="155">
        <v>9356.0</v>
      </c>
      <c r="C46" s="156" t="s">
        <v>384</v>
      </c>
      <c r="D46" s="183" t="s">
        <v>385</v>
      </c>
      <c r="E46" s="94"/>
      <c r="F46" s="94">
        <v>15.0</v>
      </c>
      <c r="G46" s="184">
        <v>13.0</v>
      </c>
      <c r="H46" s="95">
        <v>33.0</v>
      </c>
      <c r="I46" s="94">
        <v>38.0</v>
      </c>
      <c r="J46" s="94">
        <v>39.0</v>
      </c>
      <c r="K46" s="185">
        <f t="shared" si="7"/>
        <v>73.33333333</v>
      </c>
      <c r="L46" s="94">
        <v>44.0</v>
      </c>
      <c r="M46" s="71">
        <f t="shared" si="2"/>
        <v>5</v>
      </c>
    </row>
    <row r="47" ht="15.75" customHeight="1">
      <c r="A47" s="154">
        <v>43.0</v>
      </c>
      <c r="B47" s="155">
        <v>9482.0</v>
      </c>
      <c r="C47" s="156" t="s">
        <v>386</v>
      </c>
      <c r="D47" s="183" t="s">
        <v>387</v>
      </c>
      <c r="E47" s="94"/>
      <c r="F47" s="94">
        <v>31.0</v>
      </c>
      <c r="G47" s="186">
        <v>9.0</v>
      </c>
      <c r="H47" s="95">
        <v>25.0</v>
      </c>
      <c r="I47" s="94">
        <v>41.0</v>
      </c>
      <c r="J47" s="94">
        <v>29.0</v>
      </c>
      <c r="K47" s="185">
        <f t="shared" si="7"/>
        <v>51.66666667</v>
      </c>
      <c r="L47" s="94">
        <v>31.0</v>
      </c>
      <c r="M47" s="71">
        <f t="shared" si="2"/>
        <v>5</v>
      </c>
    </row>
    <row r="48" ht="15.75" customHeight="1">
      <c r="A48" s="154">
        <v>44.0</v>
      </c>
      <c r="B48" s="155">
        <v>9175.0</v>
      </c>
      <c r="C48" s="156" t="s">
        <v>388</v>
      </c>
      <c r="D48" s="183" t="s">
        <v>389</v>
      </c>
      <c r="E48" s="94"/>
      <c r="F48" s="94">
        <v>80.0</v>
      </c>
      <c r="G48" s="186">
        <v>60.0</v>
      </c>
      <c r="H48" s="95">
        <v>82.0</v>
      </c>
      <c r="I48" s="94">
        <v>88.0</v>
      </c>
      <c r="J48" s="94">
        <v>72.0</v>
      </c>
      <c r="K48" s="185">
        <f t="shared" si="7"/>
        <v>73.33333333</v>
      </c>
      <c r="L48" s="94">
        <v>44.0</v>
      </c>
      <c r="M48" s="71">
        <f t="shared" si="2"/>
        <v>0</v>
      </c>
    </row>
    <row r="49" ht="15.75" customHeight="1">
      <c r="A49" s="154">
        <v>45.0</v>
      </c>
      <c r="B49" s="155">
        <v>9493.0</v>
      </c>
      <c r="C49" s="156" t="s">
        <v>390</v>
      </c>
      <c r="D49" s="183" t="s">
        <v>391</v>
      </c>
      <c r="E49" s="94"/>
      <c r="F49" s="94" t="s">
        <v>27</v>
      </c>
      <c r="G49" s="186" t="s">
        <v>27</v>
      </c>
      <c r="H49" s="95" t="s">
        <v>27</v>
      </c>
      <c r="I49" s="184" t="s">
        <v>27</v>
      </c>
      <c r="J49" s="94" t="s">
        <v>27</v>
      </c>
      <c r="K49" s="185" t="s">
        <v>27</v>
      </c>
      <c r="L49" s="94" t="s">
        <v>27</v>
      </c>
      <c r="M49" s="71">
        <f t="shared" si="2"/>
        <v>5</v>
      </c>
    </row>
    <row r="50" ht="15.75" customHeight="1">
      <c r="A50" s="154">
        <v>46.0</v>
      </c>
      <c r="B50" s="155">
        <v>9111.0</v>
      </c>
      <c r="C50" s="156" t="s">
        <v>392</v>
      </c>
      <c r="D50" s="183" t="s">
        <v>393</v>
      </c>
      <c r="E50" s="94"/>
      <c r="F50" s="94">
        <v>63.0</v>
      </c>
      <c r="G50" s="186">
        <v>62.0</v>
      </c>
      <c r="H50" s="95">
        <v>55.0</v>
      </c>
      <c r="I50" s="94">
        <v>72.0</v>
      </c>
      <c r="J50" s="94">
        <v>51.0</v>
      </c>
      <c r="K50" s="185">
        <f>L50/60*100</f>
        <v>78.33333333</v>
      </c>
      <c r="L50" s="94">
        <v>47.0</v>
      </c>
      <c r="M50" s="71">
        <f t="shared" si="2"/>
        <v>0</v>
      </c>
    </row>
    <row r="51" ht="15.75" customHeight="1">
      <c r="A51" s="154">
        <v>47.0</v>
      </c>
      <c r="B51" s="155">
        <v>9174.0</v>
      </c>
      <c r="C51" s="156" t="s">
        <v>394</v>
      </c>
      <c r="D51" s="183" t="s">
        <v>395</v>
      </c>
      <c r="E51" s="94"/>
      <c r="F51" s="94">
        <v>72.0</v>
      </c>
      <c r="G51" s="186" t="s">
        <v>27</v>
      </c>
      <c r="H51" s="95" t="s">
        <v>27</v>
      </c>
      <c r="I51" s="94">
        <v>67.0</v>
      </c>
      <c r="J51" s="94" t="s">
        <v>27</v>
      </c>
      <c r="K51" s="185" t="s">
        <v>27</v>
      </c>
      <c r="L51" s="94" t="s">
        <v>27</v>
      </c>
      <c r="M51" s="71">
        <f t="shared" si="2"/>
        <v>3</v>
      </c>
    </row>
    <row r="52" ht="15.75" customHeight="1">
      <c r="A52" s="154">
        <v>48.0</v>
      </c>
      <c r="B52" s="155">
        <v>9250.0</v>
      </c>
      <c r="C52" s="156" t="s">
        <v>396</v>
      </c>
      <c r="D52" s="183" t="s">
        <v>397</v>
      </c>
      <c r="E52" s="94"/>
      <c r="F52" s="94">
        <v>34.0</v>
      </c>
      <c r="G52" s="186">
        <v>16.0</v>
      </c>
      <c r="H52" s="95">
        <v>40.0</v>
      </c>
      <c r="I52" s="94">
        <v>59.0</v>
      </c>
      <c r="J52" s="94">
        <v>20.0</v>
      </c>
      <c r="K52" s="185">
        <f t="shared" ref="K52:K64" si="8">L52/60*100</f>
        <v>81.66666667</v>
      </c>
      <c r="L52" s="94">
        <v>49.0</v>
      </c>
      <c r="M52" s="71">
        <f t="shared" si="2"/>
        <v>4</v>
      </c>
    </row>
    <row r="53" ht="15.75" customHeight="1">
      <c r="A53" s="154">
        <v>49.0</v>
      </c>
      <c r="B53" s="155">
        <v>9370.0</v>
      </c>
      <c r="C53" s="156" t="s">
        <v>398</v>
      </c>
      <c r="D53" s="183" t="s">
        <v>399</v>
      </c>
      <c r="E53" s="94"/>
      <c r="F53" s="94">
        <v>70.0</v>
      </c>
      <c r="G53" s="186">
        <v>50.0</v>
      </c>
      <c r="H53" s="95">
        <v>76.0</v>
      </c>
      <c r="I53" s="94">
        <v>75.0</v>
      </c>
      <c r="J53" s="94">
        <v>61.0</v>
      </c>
      <c r="K53" s="185">
        <f t="shared" si="8"/>
        <v>86.66666667</v>
      </c>
      <c r="L53" s="94">
        <v>52.0</v>
      </c>
      <c r="M53" s="71">
        <f t="shared" si="2"/>
        <v>0</v>
      </c>
    </row>
    <row r="54" ht="15.75" customHeight="1">
      <c r="A54" s="154">
        <v>50.0</v>
      </c>
      <c r="B54" s="155">
        <v>9490.0</v>
      </c>
      <c r="C54" s="156" t="s">
        <v>400</v>
      </c>
      <c r="D54" s="183" t="s">
        <v>401</v>
      </c>
      <c r="E54" s="94"/>
      <c r="F54" s="94">
        <v>75.0</v>
      </c>
      <c r="G54" s="186" t="s">
        <v>27</v>
      </c>
      <c r="H54" s="95">
        <v>67.0</v>
      </c>
      <c r="I54" s="94">
        <v>81.0</v>
      </c>
      <c r="J54" s="94">
        <v>56.0</v>
      </c>
      <c r="K54" s="185">
        <f t="shared" si="8"/>
        <v>88.33333333</v>
      </c>
      <c r="L54" s="94">
        <v>53.0</v>
      </c>
      <c r="M54" s="71">
        <f t="shared" si="2"/>
        <v>1</v>
      </c>
    </row>
    <row r="55" ht="15.75" customHeight="1">
      <c r="A55" s="154">
        <v>51.0</v>
      </c>
      <c r="B55" s="155">
        <v>9141.0</v>
      </c>
      <c r="C55" s="156" t="s">
        <v>402</v>
      </c>
      <c r="D55" s="183" t="s">
        <v>403</v>
      </c>
      <c r="E55" s="94"/>
      <c r="F55" s="94">
        <v>58.0</v>
      </c>
      <c r="G55" s="186">
        <v>38.0</v>
      </c>
      <c r="H55" s="95" t="s">
        <v>27</v>
      </c>
      <c r="I55" s="94">
        <v>52.0</v>
      </c>
      <c r="J55" s="94">
        <v>50.0</v>
      </c>
      <c r="K55" s="185">
        <f t="shared" si="8"/>
        <v>71.66666667</v>
      </c>
      <c r="L55" s="94">
        <v>43.0</v>
      </c>
      <c r="M55" s="71">
        <f t="shared" si="2"/>
        <v>2</v>
      </c>
    </row>
    <row r="56" ht="15.75" customHeight="1">
      <c r="A56" s="154">
        <v>52.0</v>
      </c>
      <c r="B56" s="155">
        <v>9127.0</v>
      </c>
      <c r="C56" s="156" t="s">
        <v>404</v>
      </c>
      <c r="D56" s="183" t="s">
        <v>405</v>
      </c>
      <c r="E56" s="94"/>
      <c r="F56" s="94">
        <v>68.0</v>
      </c>
      <c r="G56" s="186">
        <v>61.0</v>
      </c>
      <c r="H56" s="95">
        <v>75.0</v>
      </c>
      <c r="I56" s="94">
        <v>79.0</v>
      </c>
      <c r="J56" s="94">
        <v>28.0</v>
      </c>
      <c r="K56" s="185">
        <f t="shared" si="8"/>
        <v>76.66666667</v>
      </c>
      <c r="L56" s="94">
        <v>46.0</v>
      </c>
      <c r="M56" s="71">
        <f t="shared" si="2"/>
        <v>1</v>
      </c>
    </row>
    <row r="57" ht="15.75" customHeight="1">
      <c r="A57" s="154">
        <v>53.0</v>
      </c>
      <c r="B57" s="155">
        <v>9407.0</v>
      </c>
      <c r="C57" s="156" t="s">
        <v>406</v>
      </c>
      <c r="D57" s="183" t="s">
        <v>407</v>
      </c>
      <c r="E57" s="94"/>
      <c r="F57" s="94">
        <v>50.0</v>
      </c>
      <c r="G57" s="186">
        <v>62.0</v>
      </c>
      <c r="H57" s="95">
        <v>62.0</v>
      </c>
      <c r="I57" s="94">
        <v>86.0</v>
      </c>
      <c r="J57" s="94">
        <v>59.0</v>
      </c>
      <c r="K57" s="185">
        <f t="shared" si="8"/>
        <v>83.33333333</v>
      </c>
      <c r="L57" s="94">
        <v>50.0</v>
      </c>
      <c r="M57" s="71">
        <f t="shared" si="2"/>
        <v>0</v>
      </c>
    </row>
    <row r="58" ht="15.75" customHeight="1">
      <c r="A58" s="154">
        <v>54.0</v>
      </c>
      <c r="B58" s="155">
        <v>9391.0</v>
      </c>
      <c r="C58" s="156" t="s">
        <v>408</v>
      </c>
      <c r="D58" s="183" t="s">
        <v>409</v>
      </c>
      <c r="E58" s="94"/>
      <c r="F58" s="94">
        <v>50.0</v>
      </c>
      <c r="G58" s="186">
        <v>40.0</v>
      </c>
      <c r="H58" s="95">
        <v>60.0</v>
      </c>
      <c r="I58" s="94">
        <v>69.0</v>
      </c>
      <c r="J58" s="94">
        <v>54.0</v>
      </c>
      <c r="K58" s="185">
        <f t="shared" si="8"/>
        <v>68.33333333</v>
      </c>
      <c r="L58" s="94">
        <v>41.0</v>
      </c>
      <c r="M58" s="71">
        <f t="shared" si="2"/>
        <v>1</v>
      </c>
    </row>
    <row r="59" ht="15.75" customHeight="1">
      <c r="A59" s="154">
        <v>55.0</v>
      </c>
      <c r="B59" s="155">
        <v>9218.0</v>
      </c>
      <c r="C59" s="156" t="s">
        <v>410</v>
      </c>
      <c r="D59" s="183" t="s">
        <v>411</v>
      </c>
      <c r="E59" s="94"/>
      <c r="F59" s="94">
        <v>60.0</v>
      </c>
      <c r="G59" s="184">
        <v>38.0</v>
      </c>
      <c r="H59" s="95">
        <v>54.0</v>
      </c>
      <c r="I59" s="94">
        <v>60.0</v>
      </c>
      <c r="J59" s="94">
        <v>37.0</v>
      </c>
      <c r="K59" s="185">
        <f t="shared" si="8"/>
        <v>53.33333333</v>
      </c>
      <c r="L59" s="94">
        <v>32.0</v>
      </c>
      <c r="M59" s="71">
        <f t="shared" si="2"/>
        <v>2</v>
      </c>
    </row>
    <row r="60" ht="15.75" customHeight="1">
      <c r="A60" s="154">
        <v>56.0</v>
      </c>
      <c r="B60" s="155">
        <v>9386.0</v>
      </c>
      <c r="C60" s="156" t="s">
        <v>412</v>
      </c>
      <c r="D60" s="183" t="s">
        <v>413</v>
      </c>
      <c r="E60" s="94"/>
      <c r="F60" s="94">
        <v>72.0</v>
      </c>
      <c r="G60" s="186">
        <v>66.0</v>
      </c>
      <c r="H60" s="95">
        <v>63.0</v>
      </c>
      <c r="I60" s="94">
        <v>71.0</v>
      </c>
      <c r="J60" s="94">
        <v>56.0</v>
      </c>
      <c r="K60" s="185">
        <f t="shared" si="8"/>
        <v>85</v>
      </c>
      <c r="L60" s="94">
        <v>51.0</v>
      </c>
      <c r="M60" s="71">
        <f t="shared" si="2"/>
        <v>0</v>
      </c>
    </row>
    <row r="61" ht="15.75" customHeight="1">
      <c r="A61" s="154">
        <v>57.0</v>
      </c>
      <c r="B61" s="155">
        <v>9276.0</v>
      </c>
      <c r="C61" s="156" t="s">
        <v>414</v>
      </c>
      <c r="D61" s="183" t="s">
        <v>415</v>
      </c>
      <c r="E61" s="94"/>
      <c r="F61" s="94">
        <v>22.0</v>
      </c>
      <c r="G61" s="184">
        <v>0.0</v>
      </c>
      <c r="H61" s="95">
        <v>5.0</v>
      </c>
      <c r="I61" s="184" t="s">
        <v>27</v>
      </c>
      <c r="J61" s="94">
        <v>9.0</v>
      </c>
      <c r="K61" s="185">
        <f t="shared" si="8"/>
        <v>16.66666667</v>
      </c>
      <c r="L61" s="94">
        <v>10.0</v>
      </c>
      <c r="M61" s="71">
        <f t="shared" si="2"/>
        <v>5</v>
      </c>
    </row>
    <row r="62" ht="15.75" customHeight="1">
      <c r="A62" s="154">
        <v>58.0</v>
      </c>
      <c r="B62" s="155">
        <v>9289.0</v>
      </c>
      <c r="C62" s="156" t="s">
        <v>416</v>
      </c>
      <c r="D62" s="183" t="s">
        <v>417</v>
      </c>
      <c r="E62" s="94"/>
      <c r="F62" s="94">
        <v>62.0</v>
      </c>
      <c r="G62" s="184">
        <v>29.0</v>
      </c>
      <c r="H62" s="95">
        <v>50.0</v>
      </c>
      <c r="I62" s="94">
        <v>54.0</v>
      </c>
      <c r="J62" s="94">
        <v>22.0</v>
      </c>
      <c r="K62" s="185">
        <f t="shared" si="8"/>
        <v>56.66666667</v>
      </c>
      <c r="L62" s="94">
        <v>34.0</v>
      </c>
      <c r="M62" s="71">
        <f t="shared" si="2"/>
        <v>2</v>
      </c>
    </row>
    <row r="63" ht="15.75" customHeight="1">
      <c r="A63" s="154">
        <v>59.0</v>
      </c>
      <c r="B63" s="155">
        <v>9364.0</v>
      </c>
      <c r="C63" s="156" t="s">
        <v>418</v>
      </c>
      <c r="D63" s="183" t="s">
        <v>419</v>
      </c>
      <c r="E63" s="94"/>
      <c r="F63" s="94">
        <v>15.0</v>
      </c>
      <c r="G63" s="186">
        <v>11.0</v>
      </c>
      <c r="H63" s="95">
        <v>46.0</v>
      </c>
      <c r="I63" s="94">
        <v>33.0</v>
      </c>
      <c r="J63" s="94">
        <v>10.0</v>
      </c>
      <c r="K63" s="185">
        <f t="shared" si="8"/>
        <v>71.66666667</v>
      </c>
      <c r="L63" s="94">
        <v>43.0</v>
      </c>
      <c r="M63" s="71">
        <f t="shared" si="2"/>
        <v>5</v>
      </c>
      <c r="Q63" s="161">
        <v>10.0</v>
      </c>
    </row>
    <row r="64" ht="15.75" customHeight="1">
      <c r="A64" s="154">
        <v>60.0</v>
      </c>
      <c r="B64" s="155">
        <v>9439.0</v>
      </c>
      <c r="C64" s="156" t="s">
        <v>420</v>
      </c>
      <c r="D64" s="183" t="s">
        <v>421</v>
      </c>
      <c r="E64" s="94"/>
      <c r="F64" s="94">
        <v>53.0</v>
      </c>
      <c r="G64" s="184">
        <v>30.0</v>
      </c>
      <c r="H64" s="95">
        <v>41.0</v>
      </c>
      <c r="I64" s="184" t="s">
        <v>27</v>
      </c>
      <c r="J64" s="94">
        <v>50.0</v>
      </c>
      <c r="K64" s="185">
        <f t="shared" si="8"/>
        <v>75</v>
      </c>
      <c r="L64" s="94">
        <v>45.0</v>
      </c>
      <c r="M64" s="71">
        <f t="shared" si="2"/>
        <v>3</v>
      </c>
    </row>
    <row r="65" ht="15.75" customHeight="1">
      <c r="A65" s="154"/>
      <c r="B65" s="155"/>
      <c r="C65" s="157"/>
      <c r="D65" s="187"/>
      <c r="E65" s="186"/>
      <c r="F65" s="186"/>
      <c r="G65" s="186"/>
      <c r="H65" s="186"/>
      <c r="I65" s="186"/>
      <c r="J65" s="186"/>
      <c r="K65" s="188"/>
      <c r="L65" s="188"/>
    </row>
    <row r="66" ht="15.75" customHeight="1">
      <c r="A66" s="189" t="s">
        <v>83</v>
      </c>
      <c r="B66" s="55"/>
      <c r="C66" s="55"/>
      <c r="D66" s="56"/>
      <c r="E66" s="186">
        <v>60.0</v>
      </c>
      <c r="F66" s="186">
        <v>60.0</v>
      </c>
      <c r="G66" s="186">
        <v>60.0</v>
      </c>
      <c r="H66" s="186">
        <v>60.0</v>
      </c>
      <c r="I66" s="186">
        <v>60.0</v>
      </c>
      <c r="J66" s="186">
        <v>60.0</v>
      </c>
      <c r="K66" s="186">
        <v>60.0</v>
      </c>
      <c r="L66" s="186">
        <v>60.0</v>
      </c>
    </row>
    <row r="67" ht="15.75" customHeight="1">
      <c r="A67" s="189" t="s">
        <v>84</v>
      </c>
      <c r="B67" s="55"/>
      <c r="C67" s="55"/>
      <c r="D67" s="56"/>
      <c r="E67" s="186">
        <f t="shared" ref="E67:L67" si="9">E66-E68</f>
        <v>60</v>
      </c>
      <c r="F67" s="186">
        <f t="shared" si="9"/>
        <v>56</v>
      </c>
      <c r="G67" s="186">
        <f t="shared" si="9"/>
        <v>52</v>
      </c>
      <c r="H67" s="186">
        <f t="shared" si="9"/>
        <v>52</v>
      </c>
      <c r="I67" s="186">
        <f t="shared" si="9"/>
        <v>52</v>
      </c>
      <c r="J67" s="186">
        <f t="shared" si="9"/>
        <v>53</v>
      </c>
      <c r="K67" s="186">
        <f t="shared" si="9"/>
        <v>54</v>
      </c>
      <c r="L67" s="186">
        <f t="shared" si="9"/>
        <v>53</v>
      </c>
    </row>
    <row r="68" ht="15.75" customHeight="1">
      <c r="A68" s="189" t="s">
        <v>85</v>
      </c>
      <c r="B68" s="55"/>
      <c r="C68" s="55"/>
      <c r="D68" s="56"/>
      <c r="E68" s="186">
        <f t="shared" ref="E68:L68" si="10">COUNTIF(E5:E64,"AB")</f>
        <v>0</v>
      </c>
      <c r="F68" s="186">
        <f t="shared" si="10"/>
        <v>4</v>
      </c>
      <c r="G68" s="186">
        <f t="shared" si="10"/>
        <v>8</v>
      </c>
      <c r="H68" s="186">
        <f t="shared" si="10"/>
        <v>8</v>
      </c>
      <c r="I68" s="186">
        <f t="shared" si="10"/>
        <v>8</v>
      </c>
      <c r="J68" s="186">
        <f t="shared" si="10"/>
        <v>7</v>
      </c>
      <c r="K68" s="186">
        <f t="shared" si="10"/>
        <v>6</v>
      </c>
      <c r="L68" s="186">
        <f t="shared" si="10"/>
        <v>7</v>
      </c>
    </row>
    <row r="69" ht="15.75" customHeight="1">
      <c r="A69" s="189" t="s">
        <v>86</v>
      </c>
      <c r="B69" s="55"/>
      <c r="C69" s="55"/>
      <c r="D69" s="56"/>
      <c r="E69" s="98">
        <f t="shared" ref="E69:L69" si="11">COUNTIF(E5:E64,"&gt;=50")</f>
        <v>0</v>
      </c>
      <c r="F69" s="98">
        <f t="shared" si="11"/>
        <v>39</v>
      </c>
      <c r="G69" s="98">
        <f t="shared" si="11"/>
        <v>27</v>
      </c>
      <c r="H69" s="98">
        <f t="shared" si="11"/>
        <v>32</v>
      </c>
      <c r="I69" s="98">
        <f t="shared" si="11"/>
        <v>44</v>
      </c>
      <c r="J69" s="98">
        <f t="shared" si="11"/>
        <v>33</v>
      </c>
      <c r="K69" s="98">
        <f t="shared" si="11"/>
        <v>51</v>
      </c>
      <c r="L69" s="98">
        <f t="shared" si="11"/>
        <v>20</v>
      </c>
    </row>
    <row r="70" ht="15.75" customHeight="1">
      <c r="A70" s="189" t="s">
        <v>87</v>
      </c>
      <c r="B70" s="55"/>
      <c r="C70" s="55"/>
      <c r="D70" s="56"/>
      <c r="E70" s="186">
        <f t="shared" ref="E70:L70" si="12">E67-E69</f>
        <v>60</v>
      </c>
      <c r="F70" s="186">
        <f t="shared" si="12"/>
        <v>17</v>
      </c>
      <c r="G70" s="186">
        <f t="shared" si="12"/>
        <v>25</v>
      </c>
      <c r="H70" s="186">
        <f t="shared" si="12"/>
        <v>20</v>
      </c>
      <c r="I70" s="186">
        <f t="shared" si="12"/>
        <v>8</v>
      </c>
      <c r="J70" s="186">
        <f t="shared" si="12"/>
        <v>20</v>
      </c>
      <c r="K70" s="186">
        <f t="shared" si="12"/>
        <v>3</v>
      </c>
      <c r="L70" s="186">
        <f t="shared" si="12"/>
        <v>33</v>
      </c>
    </row>
    <row r="71" ht="15.75" customHeight="1">
      <c r="A71" s="189" t="s">
        <v>88</v>
      </c>
      <c r="B71" s="55"/>
      <c r="C71" s="55"/>
      <c r="D71" s="56"/>
      <c r="E71" s="190">
        <f t="shared" ref="E71:L71" si="13">(E69/E66)*100</f>
        <v>0</v>
      </c>
      <c r="F71" s="190">
        <f t="shared" si="13"/>
        <v>65</v>
      </c>
      <c r="G71" s="190">
        <f t="shared" si="13"/>
        <v>45</v>
      </c>
      <c r="H71" s="190">
        <f t="shared" si="13"/>
        <v>53.33333333</v>
      </c>
      <c r="I71" s="190">
        <f t="shared" si="13"/>
        <v>73.33333333</v>
      </c>
      <c r="J71" s="190">
        <f t="shared" si="13"/>
        <v>55</v>
      </c>
      <c r="K71" s="190">
        <f t="shared" si="13"/>
        <v>85</v>
      </c>
      <c r="L71" s="190">
        <f t="shared" si="13"/>
        <v>33.33333333</v>
      </c>
    </row>
    <row r="72" ht="15.75" customHeight="1">
      <c r="A72" s="191"/>
      <c r="B72" s="191"/>
      <c r="C72" s="191"/>
      <c r="D72" s="191"/>
      <c r="E72" s="98">
        <f t="shared" ref="E72:L72" si="14">E73+E74</f>
        <v>0</v>
      </c>
      <c r="F72" s="98">
        <f t="shared" si="14"/>
        <v>17</v>
      </c>
      <c r="G72" s="98">
        <f t="shared" si="14"/>
        <v>25</v>
      </c>
      <c r="H72" s="98">
        <f t="shared" si="14"/>
        <v>20</v>
      </c>
      <c r="I72" s="98">
        <f t="shared" si="14"/>
        <v>8</v>
      </c>
      <c r="J72" s="98">
        <f t="shared" si="14"/>
        <v>20</v>
      </c>
      <c r="K72" s="98">
        <f t="shared" si="14"/>
        <v>2</v>
      </c>
      <c r="L72" s="98">
        <f t="shared" si="14"/>
        <v>33</v>
      </c>
    </row>
    <row r="73" ht="15.75" customHeight="1">
      <c r="A73" s="192" t="s">
        <v>89</v>
      </c>
      <c r="B73" s="55"/>
      <c r="C73" s="55"/>
      <c r="D73" s="56"/>
      <c r="E73" s="98">
        <f t="shared" ref="E73:L73" si="15">COUNTIF(E5:E64,"&lt;25")</f>
        <v>0</v>
      </c>
      <c r="F73" s="98">
        <f t="shared" si="15"/>
        <v>7</v>
      </c>
      <c r="G73" s="98">
        <f t="shared" si="15"/>
        <v>13</v>
      </c>
      <c r="H73" s="98">
        <f t="shared" si="15"/>
        <v>6</v>
      </c>
      <c r="I73" s="98">
        <f t="shared" si="15"/>
        <v>2</v>
      </c>
      <c r="J73" s="98">
        <f t="shared" si="15"/>
        <v>11</v>
      </c>
      <c r="K73" s="98">
        <f t="shared" si="15"/>
        <v>1</v>
      </c>
      <c r="L73" s="98">
        <f t="shared" si="15"/>
        <v>1</v>
      </c>
    </row>
    <row r="74" ht="15.75" customHeight="1">
      <c r="A74" s="191"/>
      <c r="B74" s="191"/>
      <c r="C74" s="191"/>
      <c r="D74" s="191" t="s">
        <v>90</v>
      </c>
      <c r="E74" s="98">
        <f t="shared" ref="E74:L74" si="16">COUNTIFS(E5:E64, "&gt;=25",E5:E64, "&lt;=49")</f>
        <v>0</v>
      </c>
      <c r="F74" s="98">
        <f t="shared" si="16"/>
        <v>10</v>
      </c>
      <c r="G74" s="98">
        <f t="shared" si="16"/>
        <v>12</v>
      </c>
      <c r="H74" s="98">
        <f t="shared" si="16"/>
        <v>14</v>
      </c>
      <c r="I74" s="98">
        <f t="shared" si="16"/>
        <v>6</v>
      </c>
      <c r="J74" s="98">
        <f t="shared" si="16"/>
        <v>9</v>
      </c>
      <c r="K74" s="98">
        <f t="shared" si="16"/>
        <v>1</v>
      </c>
      <c r="L74" s="98">
        <f t="shared" si="16"/>
        <v>32</v>
      </c>
    </row>
    <row r="75" ht="15.75" customHeight="1">
      <c r="A75" s="193" t="s">
        <v>91</v>
      </c>
      <c r="B75" s="55"/>
      <c r="C75" s="55"/>
      <c r="D75" s="56"/>
      <c r="E75" s="98">
        <f>COUNTIFS(E5:E64, "&gt;=50",E5:E64, "&lt;=55")</f>
        <v>0</v>
      </c>
      <c r="F75" s="98">
        <v>8.0</v>
      </c>
      <c r="G75" s="98">
        <f t="shared" ref="G75:L75" si="17">COUNTIFS(G5:G64, "&gt;=50",G5:G64, "&lt;=55")</f>
        <v>10</v>
      </c>
      <c r="H75" s="98">
        <f t="shared" si="17"/>
        <v>7</v>
      </c>
      <c r="I75" s="98">
        <f t="shared" si="17"/>
        <v>5</v>
      </c>
      <c r="J75" s="98">
        <f t="shared" si="17"/>
        <v>12</v>
      </c>
      <c r="K75" s="98">
        <f t="shared" si="17"/>
        <v>4</v>
      </c>
      <c r="L75" s="98">
        <f t="shared" si="17"/>
        <v>20</v>
      </c>
    </row>
    <row r="76" ht="15.75" customHeight="1">
      <c r="A76" s="193" t="s">
        <v>92</v>
      </c>
      <c r="B76" s="55"/>
      <c r="C76" s="55"/>
      <c r="D76" s="56"/>
      <c r="E76" s="98">
        <f>COUNTIFS(E5:E64, "&gt;=56",E5:E64, "&lt;=60")</f>
        <v>0</v>
      </c>
      <c r="F76" s="98">
        <v>5.0</v>
      </c>
      <c r="G76" s="98">
        <f t="shared" ref="G76:L76" si="18">COUNTIFS(G5:G64, "&gt;=56",G5:G64, "&lt;=60")</f>
        <v>4</v>
      </c>
      <c r="H76" s="98">
        <f t="shared" si="18"/>
        <v>6</v>
      </c>
      <c r="I76" s="98">
        <f t="shared" si="18"/>
        <v>6</v>
      </c>
      <c r="J76" s="98">
        <f t="shared" si="18"/>
        <v>7</v>
      </c>
      <c r="K76" s="98">
        <f t="shared" si="18"/>
        <v>4</v>
      </c>
      <c r="L76" s="98">
        <f t="shared" si="18"/>
        <v>0</v>
      </c>
    </row>
    <row r="77" ht="15.75" customHeight="1">
      <c r="A77" s="193" t="s">
        <v>93</v>
      </c>
      <c r="B77" s="55"/>
      <c r="C77" s="55"/>
      <c r="D77" s="56"/>
      <c r="E77" s="98">
        <f>COUNTIFS(E5:E64, "&gt;=61",E5:E64, "&lt;=70")</f>
        <v>0</v>
      </c>
      <c r="F77" s="186">
        <v>11.0</v>
      </c>
      <c r="G77" s="186">
        <f t="shared" ref="G77:L77" si="19">COUNTIFS(G5:G64, "&gt;=61",G5:G64, "&lt;=70")</f>
        <v>5</v>
      </c>
      <c r="H77" s="186">
        <f t="shared" si="19"/>
        <v>7</v>
      </c>
      <c r="I77" s="186">
        <f t="shared" si="19"/>
        <v>9</v>
      </c>
      <c r="J77" s="186">
        <f t="shared" si="19"/>
        <v>6</v>
      </c>
      <c r="K77" s="186">
        <f t="shared" si="19"/>
        <v>7</v>
      </c>
      <c r="L77" s="186">
        <f t="shared" si="19"/>
        <v>0</v>
      </c>
    </row>
    <row r="78" ht="15.75" customHeight="1">
      <c r="A78" s="193" t="s">
        <v>94</v>
      </c>
      <c r="B78" s="55"/>
      <c r="C78" s="55"/>
      <c r="D78" s="56"/>
      <c r="E78" s="98">
        <f>COUNTIFS(E5:E64, "&gt;=71",E5:E64, "&lt;=80")</f>
        <v>0</v>
      </c>
      <c r="F78" s="186">
        <v>17.0</v>
      </c>
      <c r="G78" s="186">
        <f t="shared" ref="G78:L78" si="20">COUNTIFS(G5:G64, "&gt;=71",G5:G64, "&lt;=80")</f>
        <v>5</v>
      </c>
      <c r="H78" s="186">
        <f t="shared" si="20"/>
        <v>8</v>
      </c>
      <c r="I78" s="186">
        <f t="shared" si="20"/>
        <v>13</v>
      </c>
      <c r="J78" s="186">
        <f t="shared" si="20"/>
        <v>7</v>
      </c>
      <c r="K78" s="186">
        <f t="shared" si="20"/>
        <v>13</v>
      </c>
      <c r="L78" s="186">
        <f t="shared" si="20"/>
        <v>0</v>
      </c>
    </row>
    <row r="79" ht="15.75" customHeight="1">
      <c r="A79" s="193" t="s">
        <v>95</v>
      </c>
      <c r="B79" s="55"/>
      <c r="C79" s="55"/>
      <c r="D79" s="56"/>
      <c r="E79" s="98">
        <f>COUNTIFS(E5:E64, "&gt;=81",E5:E64, "&lt;=90")</f>
        <v>0</v>
      </c>
      <c r="F79" s="186">
        <v>2.0</v>
      </c>
      <c r="G79" s="186">
        <f t="shared" ref="G79:L79" si="21">COUNTIFS(G5:G64, "&gt;=81",G5:G64, "&lt;=90")</f>
        <v>3</v>
      </c>
      <c r="H79" s="186">
        <f t="shared" si="21"/>
        <v>4</v>
      </c>
      <c r="I79" s="186">
        <f t="shared" si="21"/>
        <v>8</v>
      </c>
      <c r="J79" s="186">
        <f t="shared" si="21"/>
        <v>1</v>
      </c>
      <c r="K79" s="186">
        <f t="shared" si="21"/>
        <v>21</v>
      </c>
      <c r="L79" s="186">
        <f t="shared" si="21"/>
        <v>0</v>
      </c>
    </row>
    <row r="80" ht="15.75" customHeight="1">
      <c r="A80" s="194" t="s">
        <v>96</v>
      </c>
      <c r="B80" s="7"/>
      <c r="C80" s="7"/>
      <c r="D80" s="8"/>
      <c r="E80" s="195">
        <f>COUNTIFS(E5:E64, "&gt;=91",E5:E64, "&lt;=100")</f>
        <v>0</v>
      </c>
      <c r="F80" s="195">
        <v>4.0</v>
      </c>
      <c r="G80" s="195">
        <f t="shared" ref="G80:L80" si="22">COUNTIFS(G5:G64, "&gt;=91",G5:G64, "&lt;=100")</f>
        <v>0</v>
      </c>
      <c r="H80" s="195">
        <f t="shared" si="22"/>
        <v>0</v>
      </c>
      <c r="I80" s="195">
        <f t="shared" si="22"/>
        <v>3</v>
      </c>
      <c r="J80" s="195">
        <f t="shared" si="22"/>
        <v>0</v>
      </c>
      <c r="K80" s="195">
        <f t="shared" si="22"/>
        <v>2</v>
      </c>
      <c r="L80" s="195">
        <f t="shared" si="22"/>
        <v>0</v>
      </c>
    </row>
    <row r="81" ht="15.75" customHeight="1">
      <c r="A81" s="161"/>
      <c r="B81" s="161"/>
      <c r="C81" s="161"/>
      <c r="D81" s="161"/>
      <c r="E81" s="71"/>
      <c r="F81" s="71"/>
      <c r="G81" s="71"/>
      <c r="H81" s="71"/>
      <c r="I81" s="71"/>
      <c r="J81" s="71"/>
      <c r="K81" s="71"/>
      <c r="L81" s="71"/>
    </row>
    <row r="82" ht="15.75" customHeight="1">
      <c r="E82" s="71"/>
      <c r="F82" s="71"/>
      <c r="G82" s="71"/>
      <c r="H82" s="71"/>
      <c r="I82" s="71"/>
      <c r="J82" s="71"/>
      <c r="K82" s="71"/>
      <c r="L82" s="71"/>
    </row>
    <row r="83" ht="15.75" customHeight="1">
      <c r="E83" s="71"/>
      <c r="F83" s="71"/>
      <c r="G83" s="71"/>
      <c r="H83" s="71"/>
      <c r="I83" s="71"/>
      <c r="J83" s="71"/>
      <c r="K83" s="71"/>
      <c r="L83" s="71"/>
    </row>
    <row r="84" ht="15.75" customHeight="1">
      <c r="E84" s="71"/>
      <c r="F84" s="71"/>
      <c r="G84" s="71"/>
      <c r="H84" s="71"/>
      <c r="I84" s="71"/>
      <c r="J84" s="71"/>
      <c r="K84" s="71"/>
      <c r="L84" s="71"/>
    </row>
    <row r="85" ht="15.75" customHeight="1">
      <c r="E85" s="71"/>
      <c r="F85" s="71"/>
      <c r="G85" s="71"/>
      <c r="H85" s="71"/>
      <c r="I85" s="71"/>
      <c r="J85" s="71"/>
      <c r="K85" s="71"/>
      <c r="L85" s="71"/>
    </row>
    <row r="86" ht="15.75" customHeight="1">
      <c r="E86" s="71"/>
      <c r="F86" s="71"/>
      <c r="G86" s="71"/>
      <c r="H86" s="71"/>
      <c r="I86" s="71"/>
      <c r="J86" s="71"/>
      <c r="K86" s="71"/>
      <c r="L86" s="71"/>
    </row>
    <row r="87" ht="15.75" customHeight="1">
      <c r="E87" s="71"/>
      <c r="F87" s="71"/>
      <c r="G87" s="71"/>
      <c r="H87" s="71"/>
      <c r="I87" s="71"/>
      <c r="J87" s="71"/>
      <c r="K87" s="71"/>
      <c r="L87" s="71"/>
    </row>
    <row r="88" ht="15.75" customHeight="1">
      <c r="E88" s="71"/>
      <c r="F88" s="71"/>
      <c r="G88" s="71"/>
      <c r="H88" s="71"/>
      <c r="I88" s="71"/>
      <c r="J88" s="71"/>
      <c r="K88" s="71"/>
      <c r="L88" s="71"/>
    </row>
    <row r="89" ht="15.75" customHeight="1">
      <c r="E89" s="71"/>
      <c r="F89" s="71"/>
      <c r="G89" s="71"/>
      <c r="H89" s="71"/>
      <c r="I89" s="71"/>
      <c r="J89" s="71"/>
      <c r="K89" s="71"/>
      <c r="L89" s="71"/>
    </row>
    <row r="90" ht="15.75" customHeight="1">
      <c r="E90" s="71"/>
      <c r="F90" s="71"/>
      <c r="G90" s="71"/>
      <c r="H90" s="71"/>
      <c r="I90" s="71"/>
      <c r="J90" s="71"/>
      <c r="K90" s="71"/>
      <c r="L90" s="71"/>
    </row>
    <row r="91" ht="15.75" customHeight="1">
      <c r="E91" s="71"/>
      <c r="F91" s="71"/>
      <c r="G91" s="71"/>
      <c r="H91" s="71"/>
      <c r="I91" s="71"/>
      <c r="J91" s="71"/>
      <c r="K91" s="71"/>
      <c r="L91" s="71"/>
    </row>
    <row r="92" ht="15.75" customHeight="1">
      <c r="E92" s="71"/>
      <c r="F92" s="71"/>
      <c r="G92" s="71"/>
      <c r="H92" s="71"/>
      <c r="I92" s="71"/>
      <c r="J92" s="71"/>
      <c r="K92" s="71"/>
      <c r="L92" s="71"/>
    </row>
    <row r="93" ht="15.75" customHeight="1">
      <c r="E93" s="71"/>
      <c r="F93" s="71"/>
      <c r="G93" s="71"/>
      <c r="H93" s="71"/>
      <c r="I93" s="71"/>
      <c r="J93" s="71"/>
      <c r="K93" s="71"/>
      <c r="L93" s="71"/>
    </row>
    <row r="94" ht="15.75" customHeight="1">
      <c r="E94" s="71"/>
      <c r="F94" s="71"/>
      <c r="G94" s="71"/>
      <c r="H94" s="71"/>
      <c r="I94" s="71"/>
      <c r="J94" s="71"/>
      <c r="K94" s="71"/>
      <c r="L94" s="71"/>
    </row>
    <row r="95" ht="15.75" customHeight="1">
      <c r="E95" s="71"/>
      <c r="F95" s="71"/>
      <c r="G95" s="71"/>
      <c r="H95" s="71"/>
      <c r="I95" s="71"/>
      <c r="J95" s="71"/>
      <c r="K95" s="71"/>
      <c r="L95" s="71"/>
    </row>
    <row r="96" ht="15.75" customHeight="1">
      <c r="E96" s="71"/>
      <c r="F96" s="71"/>
      <c r="G96" s="71"/>
      <c r="H96" s="71"/>
      <c r="I96" s="71"/>
      <c r="J96" s="71"/>
      <c r="K96" s="71"/>
      <c r="L96" s="71"/>
    </row>
    <row r="97" ht="15.75" customHeight="1">
      <c r="E97" s="71"/>
      <c r="F97" s="71"/>
      <c r="G97" s="71"/>
      <c r="H97" s="71"/>
      <c r="I97" s="71"/>
      <c r="J97" s="71"/>
      <c r="K97" s="71"/>
      <c r="L97" s="71"/>
    </row>
    <row r="98" ht="15.75" customHeight="1">
      <c r="E98" s="71"/>
      <c r="F98" s="71"/>
      <c r="G98" s="71"/>
      <c r="H98" s="71"/>
      <c r="I98" s="71"/>
      <c r="J98" s="71"/>
      <c r="K98" s="71"/>
      <c r="L98" s="71"/>
    </row>
    <row r="99" ht="15.75" customHeight="1">
      <c r="E99" s="71"/>
      <c r="F99" s="71"/>
      <c r="G99" s="71"/>
      <c r="H99" s="71"/>
      <c r="I99" s="71"/>
      <c r="J99" s="71"/>
      <c r="K99" s="71"/>
      <c r="L99" s="71"/>
    </row>
    <row r="100" ht="15.75" customHeight="1">
      <c r="E100" s="71"/>
      <c r="F100" s="71"/>
      <c r="G100" s="71"/>
      <c r="H100" s="71"/>
      <c r="I100" s="71"/>
      <c r="J100" s="71"/>
      <c r="K100" s="71"/>
      <c r="L100" s="71"/>
    </row>
    <row r="101" ht="15.75" customHeight="1">
      <c r="E101" s="71"/>
      <c r="F101" s="71"/>
      <c r="G101" s="71"/>
      <c r="H101" s="71"/>
      <c r="I101" s="71"/>
      <c r="J101" s="71"/>
      <c r="K101" s="71"/>
      <c r="L101" s="71"/>
    </row>
    <row r="102" ht="15.75" customHeight="1">
      <c r="E102" s="71"/>
      <c r="F102" s="71"/>
      <c r="G102" s="71"/>
      <c r="H102" s="71"/>
      <c r="I102" s="71"/>
      <c r="J102" s="71"/>
      <c r="K102" s="71"/>
      <c r="L102" s="71"/>
    </row>
    <row r="103" ht="15.75" customHeight="1">
      <c r="E103" s="71"/>
      <c r="F103" s="71"/>
      <c r="G103" s="71"/>
      <c r="H103" s="71"/>
      <c r="I103" s="71"/>
      <c r="J103" s="71"/>
      <c r="K103" s="71"/>
      <c r="L103" s="71"/>
    </row>
    <row r="104" ht="15.75" customHeight="1">
      <c r="E104" s="71"/>
      <c r="F104" s="71"/>
      <c r="G104" s="71"/>
      <c r="H104" s="71"/>
      <c r="I104" s="71"/>
      <c r="J104" s="71"/>
      <c r="K104" s="71"/>
      <c r="L104" s="71"/>
    </row>
    <row r="105" ht="15.75" customHeight="1">
      <c r="E105" s="71"/>
      <c r="F105" s="71"/>
      <c r="G105" s="71"/>
      <c r="H105" s="71"/>
      <c r="I105" s="71"/>
      <c r="J105" s="71"/>
      <c r="K105" s="71"/>
      <c r="L105" s="71"/>
    </row>
    <row r="106" ht="15.75" customHeight="1">
      <c r="E106" s="71"/>
      <c r="F106" s="71"/>
      <c r="G106" s="71"/>
      <c r="H106" s="71"/>
      <c r="I106" s="71"/>
      <c r="J106" s="71"/>
      <c r="K106" s="71"/>
      <c r="L106" s="71"/>
    </row>
    <row r="107" ht="15.75" customHeight="1">
      <c r="E107" s="71"/>
      <c r="F107" s="71"/>
      <c r="G107" s="71"/>
      <c r="H107" s="71"/>
      <c r="I107" s="71"/>
      <c r="J107" s="71"/>
      <c r="K107" s="71"/>
      <c r="L107" s="71"/>
    </row>
    <row r="108" ht="15.75" customHeight="1">
      <c r="E108" s="71"/>
      <c r="F108" s="71"/>
      <c r="G108" s="71"/>
      <c r="H108" s="71"/>
      <c r="I108" s="71"/>
      <c r="J108" s="71"/>
      <c r="K108" s="71"/>
      <c r="L108" s="71"/>
    </row>
    <row r="109" ht="15.75" customHeight="1">
      <c r="E109" s="71"/>
      <c r="F109" s="71"/>
      <c r="G109" s="71"/>
      <c r="H109" s="71"/>
      <c r="I109" s="71"/>
      <c r="J109" s="71"/>
      <c r="K109" s="71"/>
      <c r="L109" s="71"/>
    </row>
    <row r="110" ht="15.75" customHeight="1">
      <c r="E110" s="71"/>
      <c r="F110" s="71"/>
      <c r="G110" s="71"/>
      <c r="H110" s="71"/>
      <c r="I110" s="71"/>
      <c r="J110" s="71"/>
      <c r="K110" s="71"/>
      <c r="L110" s="71"/>
    </row>
    <row r="111" ht="15.75" customHeight="1">
      <c r="E111" s="71"/>
      <c r="F111" s="71"/>
      <c r="G111" s="71"/>
      <c r="H111" s="71"/>
      <c r="I111" s="71"/>
      <c r="J111" s="71"/>
      <c r="K111" s="71"/>
      <c r="L111" s="71"/>
    </row>
    <row r="112" ht="15.75" customHeight="1">
      <c r="E112" s="71"/>
      <c r="F112" s="71"/>
      <c r="G112" s="71"/>
      <c r="H112" s="71"/>
      <c r="I112" s="71"/>
      <c r="J112" s="71"/>
      <c r="K112" s="71"/>
      <c r="L112" s="71"/>
    </row>
    <row r="113" ht="15.75" customHeight="1">
      <c r="E113" s="71"/>
      <c r="F113" s="71"/>
      <c r="G113" s="71"/>
      <c r="H113" s="71"/>
      <c r="I113" s="71"/>
      <c r="J113" s="71"/>
      <c r="K113" s="71"/>
      <c r="L113" s="71"/>
    </row>
    <row r="114" ht="15.75" customHeight="1">
      <c r="E114" s="71"/>
      <c r="F114" s="71"/>
      <c r="G114" s="71"/>
      <c r="H114" s="71"/>
      <c r="I114" s="71"/>
      <c r="J114" s="71"/>
      <c r="K114" s="71"/>
      <c r="L114" s="71"/>
    </row>
    <row r="115" ht="15.75" customHeight="1">
      <c r="E115" s="71"/>
      <c r="F115" s="71"/>
      <c r="G115" s="71"/>
      <c r="H115" s="71"/>
      <c r="I115" s="71"/>
      <c r="J115" s="71"/>
      <c r="K115" s="71"/>
      <c r="L115" s="71"/>
    </row>
    <row r="116" ht="15.75" customHeight="1">
      <c r="E116" s="71"/>
      <c r="F116" s="71"/>
      <c r="G116" s="71"/>
      <c r="H116" s="71"/>
      <c r="I116" s="71"/>
      <c r="J116" s="71"/>
      <c r="K116" s="71"/>
      <c r="L116" s="71"/>
    </row>
    <row r="117" ht="15.75" customHeight="1">
      <c r="E117" s="71"/>
      <c r="F117" s="71"/>
      <c r="G117" s="71"/>
      <c r="H117" s="71"/>
      <c r="I117" s="71"/>
      <c r="J117" s="71"/>
      <c r="K117" s="71"/>
      <c r="L117" s="71"/>
    </row>
    <row r="118" ht="15.75" customHeight="1">
      <c r="E118" s="71"/>
      <c r="F118" s="71"/>
      <c r="G118" s="71"/>
      <c r="H118" s="71"/>
      <c r="I118" s="71"/>
      <c r="J118" s="71"/>
      <c r="K118" s="71"/>
      <c r="L118" s="71"/>
    </row>
    <row r="119" ht="15.75" customHeight="1">
      <c r="E119" s="71"/>
      <c r="F119" s="71"/>
      <c r="G119" s="71"/>
      <c r="H119" s="71"/>
      <c r="I119" s="71"/>
      <c r="J119" s="71"/>
      <c r="K119" s="71"/>
      <c r="L119" s="71"/>
    </row>
    <row r="120" ht="15.75" customHeight="1">
      <c r="E120" s="71"/>
      <c r="F120" s="71"/>
      <c r="G120" s="71"/>
      <c r="H120" s="71"/>
      <c r="I120" s="71"/>
      <c r="J120" s="71"/>
      <c r="K120" s="71"/>
      <c r="L120" s="71"/>
    </row>
    <row r="121" ht="15.75" customHeight="1">
      <c r="E121" s="71"/>
      <c r="F121" s="71"/>
      <c r="G121" s="71"/>
      <c r="H121" s="71"/>
      <c r="I121" s="71"/>
      <c r="J121" s="71"/>
      <c r="K121" s="71"/>
      <c r="L121" s="71"/>
    </row>
    <row r="122" ht="15.75" customHeight="1">
      <c r="E122" s="71"/>
      <c r="F122" s="71"/>
      <c r="G122" s="71"/>
      <c r="H122" s="71"/>
      <c r="I122" s="71"/>
      <c r="J122" s="71"/>
      <c r="K122" s="71"/>
      <c r="L122" s="71"/>
    </row>
    <row r="123" ht="15.75" customHeight="1">
      <c r="E123" s="71"/>
      <c r="F123" s="71"/>
      <c r="G123" s="71"/>
      <c r="H123" s="71"/>
      <c r="I123" s="71"/>
      <c r="J123" s="71"/>
      <c r="K123" s="71"/>
      <c r="L123" s="71"/>
    </row>
    <row r="124" ht="15.75" customHeight="1">
      <c r="E124" s="71"/>
      <c r="F124" s="71"/>
      <c r="G124" s="71"/>
      <c r="H124" s="71"/>
      <c r="I124" s="71"/>
      <c r="J124" s="71"/>
      <c r="K124" s="71"/>
      <c r="L124" s="71"/>
    </row>
    <row r="125" ht="15.75" customHeight="1">
      <c r="E125" s="71"/>
      <c r="F125" s="71"/>
      <c r="G125" s="71"/>
      <c r="H125" s="71"/>
      <c r="I125" s="71"/>
      <c r="J125" s="71"/>
      <c r="K125" s="71"/>
      <c r="L125" s="71"/>
    </row>
    <row r="126" ht="15.75" customHeight="1">
      <c r="E126" s="71"/>
      <c r="F126" s="71"/>
      <c r="G126" s="71"/>
      <c r="H126" s="71"/>
      <c r="I126" s="71"/>
      <c r="J126" s="71"/>
      <c r="K126" s="71"/>
      <c r="L126" s="71"/>
    </row>
    <row r="127" ht="15.75" customHeight="1">
      <c r="E127" s="71"/>
      <c r="F127" s="71"/>
      <c r="G127" s="71"/>
      <c r="H127" s="71"/>
      <c r="I127" s="71"/>
      <c r="J127" s="71"/>
      <c r="K127" s="71"/>
      <c r="L127" s="71"/>
    </row>
    <row r="128" ht="15.75" customHeight="1">
      <c r="E128" s="71"/>
      <c r="F128" s="71"/>
      <c r="G128" s="71"/>
      <c r="H128" s="71"/>
      <c r="I128" s="71"/>
      <c r="J128" s="71"/>
      <c r="K128" s="71"/>
      <c r="L128" s="71"/>
    </row>
    <row r="129" ht="15.75" customHeight="1">
      <c r="E129" s="71"/>
      <c r="F129" s="71"/>
      <c r="G129" s="71"/>
      <c r="H129" s="71"/>
      <c r="I129" s="71"/>
      <c r="J129" s="71"/>
      <c r="K129" s="71"/>
      <c r="L129" s="71"/>
    </row>
    <row r="130" ht="15.75" customHeight="1">
      <c r="E130" s="71"/>
      <c r="F130" s="71"/>
      <c r="G130" s="71"/>
      <c r="H130" s="71"/>
      <c r="I130" s="71"/>
      <c r="J130" s="71"/>
      <c r="K130" s="71"/>
      <c r="L130" s="71"/>
    </row>
    <row r="131" ht="15.75" customHeight="1">
      <c r="E131" s="71"/>
      <c r="F131" s="71"/>
      <c r="G131" s="71"/>
      <c r="H131" s="71"/>
      <c r="I131" s="71"/>
      <c r="J131" s="71"/>
      <c r="K131" s="71"/>
      <c r="L131" s="71"/>
    </row>
    <row r="132" ht="15.75" customHeight="1">
      <c r="E132" s="71"/>
      <c r="F132" s="71"/>
      <c r="G132" s="71"/>
      <c r="H132" s="71"/>
      <c r="I132" s="71"/>
      <c r="J132" s="71"/>
      <c r="K132" s="71"/>
      <c r="L132" s="71"/>
    </row>
    <row r="133" ht="15.75" customHeight="1">
      <c r="E133" s="71"/>
      <c r="F133" s="71"/>
      <c r="G133" s="71"/>
      <c r="H133" s="71"/>
      <c r="I133" s="71"/>
      <c r="J133" s="71"/>
      <c r="K133" s="71"/>
      <c r="L133" s="71"/>
    </row>
    <row r="134" ht="15.75" customHeight="1">
      <c r="E134" s="71"/>
      <c r="F134" s="71"/>
      <c r="G134" s="71"/>
      <c r="H134" s="71"/>
      <c r="I134" s="71"/>
      <c r="J134" s="71"/>
      <c r="K134" s="71"/>
      <c r="L134" s="71"/>
    </row>
    <row r="135" ht="15.75" customHeight="1">
      <c r="E135" s="71"/>
      <c r="F135" s="71"/>
      <c r="G135" s="71"/>
      <c r="H135" s="71"/>
      <c r="I135" s="71"/>
      <c r="J135" s="71"/>
      <c r="K135" s="71"/>
      <c r="L135" s="71"/>
    </row>
    <row r="136" ht="15.75" customHeight="1">
      <c r="E136" s="71"/>
      <c r="F136" s="71"/>
      <c r="G136" s="71"/>
      <c r="H136" s="71"/>
      <c r="I136" s="71"/>
      <c r="J136" s="71"/>
      <c r="K136" s="71"/>
      <c r="L136" s="71"/>
    </row>
    <row r="137" ht="15.75" customHeight="1">
      <c r="E137" s="71"/>
      <c r="F137" s="71"/>
      <c r="G137" s="71"/>
      <c r="H137" s="71"/>
      <c r="I137" s="71"/>
      <c r="J137" s="71"/>
      <c r="K137" s="71"/>
      <c r="L137" s="71"/>
    </row>
    <row r="138" ht="15.75" customHeight="1">
      <c r="E138" s="71"/>
      <c r="F138" s="71"/>
      <c r="G138" s="71"/>
      <c r="H138" s="71"/>
      <c r="I138" s="71"/>
      <c r="J138" s="71"/>
      <c r="K138" s="71"/>
      <c r="L138" s="71"/>
    </row>
    <row r="139" ht="15.75" customHeight="1">
      <c r="E139" s="71"/>
      <c r="F139" s="71"/>
      <c r="G139" s="71"/>
      <c r="H139" s="71"/>
      <c r="I139" s="71"/>
      <c r="J139" s="71"/>
      <c r="K139" s="71"/>
      <c r="L139" s="71"/>
    </row>
    <row r="140" ht="15.75" customHeight="1">
      <c r="E140" s="71"/>
      <c r="F140" s="71"/>
      <c r="G140" s="71"/>
      <c r="H140" s="71"/>
      <c r="I140" s="71"/>
      <c r="J140" s="71"/>
      <c r="K140" s="71"/>
      <c r="L140" s="71"/>
    </row>
    <row r="141" ht="15.75" customHeight="1">
      <c r="E141" s="71"/>
      <c r="F141" s="71"/>
      <c r="G141" s="71"/>
      <c r="H141" s="71"/>
      <c r="I141" s="71"/>
      <c r="J141" s="71"/>
      <c r="K141" s="71"/>
      <c r="L141" s="71"/>
    </row>
    <row r="142" ht="15.75" customHeight="1">
      <c r="E142" s="71"/>
      <c r="F142" s="71"/>
      <c r="G142" s="71"/>
      <c r="H142" s="71"/>
      <c r="I142" s="71"/>
      <c r="J142" s="71"/>
      <c r="K142" s="71"/>
      <c r="L142" s="71"/>
    </row>
    <row r="143" ht="15.75" customHeight="1">
      <c r="E143" s="71"/>
      <c r="F143" s="71"/>
      <c r="G143" s="71"/>
      <c r="H143" s="71"/>
      <c r="I143" s="71"/>
      <c r="J143" s="71"/>
      <c r="K143" s="71"/>
      <c r="L143" s="71"/>
    </row>
    <row r="144" ht="15.75" customHeight="1">
      <c r="E144" s="71"/>
      <c r="F144" s="71"/>
      <c r="G144" s="71"/>
      <c r="H144" s="71"/>
      <c r="I144" s="71"/>
      <c r="J144" s="71"/>
      <c r="K144" s="71"/>
      <c r="L144" s="71"/>
    </row>
    <row r="145" ht="15.75" customHeight="1">
      <c r="E145" s="71"/>
      <c r="F145" s="71"/>
      <c r="G145" s="71"/>
      <c r="H145" s="71"/>
      <c r="I145" s="71"/>
      <c r="J145" s="71"/>
      <c r="K145" s="71"/>
      <c r="L145" s="71"/>
    </row>
    <row r="146" ht="15.75" customHeight="1">
      <c r="E146" s="71"/>
      <c r="F146" s="71"/>
      <c r="G146" s="71"/>
      <c r="H146" s="71"/>
      <c r="I146" s="71"/>
      <c r="J146" s="71"/>
      <c r="K146" s="71"/>
      <c r="L146" s="71"/>
    </row>
    <row r="147" ht="15.75" customHeight="1">
      <c r="E147" s="71"/>
      <c r="F147" s="71"/>
      <c r="G147" s="71"/>
      <c r="H147" s="71"/>
      <c r="I147" s="71"/>
      <c r="J147" s="71"/>
      <c r="K147" s="71"/>
      <c r="L147" s="71"/>
    </row>
    <row r="148" ht="15.75" customHeight="1">
      <c r="E148" s="71"/>
      <c r="F148" s="71"/>
      <c r="G148" s="71"/>
      <c r="H148" s="71"/>
      <c r="I148" s="71"/>
      <c r="J148" s="71"/>
      <c r="K148" s="71"/>
      <c r="L148" s="71"/>
    </row>
    <row r="149" ht="15.75" customHeight="1">
      <c r="E149" s="71"/>
      <c r="F149" s="71"/>
      <c r="G149" s="71"/>
      <c r="H149" s="71"/>
      <c r="I149" s="71"/>
      <c r="J149" s="71"/>
      <c r="K149" s="71"/>
      <c r="L149" s="71"/>
    </row>
    <row r="150" ht="15.75" customHeight="1">
      <c r="E150" s="71"/>
      <c r="F150" s="71"/>
      <c r="G150" s="71"/>
      <c r="H150" s="71"/>
      <c r="I150" s="71"/>
      <c r="J150" s="71"/>
      <c r="K150" s="71"/>
      <c r="L150" s="71"/>
    </row>
    <row r="151" ht="15.75" customHeight="1">
      <c r="E151" s="71"/>
      <c r="F151" s="71"/>
      <c r="G151" s="71"/>
      <c r="H151" s="71"/>
      <c r="I151" s="71"/>
      <c r="J151" s="71"/>
      <c r="K151" s="71"/>
      <c r="L151" s="71"/>
    </row>
    <row r="152" ht="15.75" customHeight="1">
      <c r="E152" s="71"/>
      <c r="F152" s="71"/>
      <c r="G152" s="71"/>
      <c r="H152" s="71"/>
      <c r="I152" s="71"/>
      <c r="J152" s="71"/>
      <c r="K152" s="71"/>
      <c r="L152" s="71"/>
    </row>
    <row r="153" ht="15.75" customHeight="1">
      <c r="E153" s="71"/>
      <c r="F153" s="71"/>
      <c r="G153" s="71"/>
      <c r="H153" s="71"/>
      <c r="I153" s="71"/>
      <c r="J153" s="71"/>
      <c r="K153" s="71"/>
      <c r="L153" s="71"/>
    </row>
    <row r="154" ht="15.75" customHeight="1">
      <c r="E154" s="71"/>
      <c r="F154" s="71"/>
      <c r="G154" s="71"/>
      <c r="H154" s="71"/>
      <c r="I154" s="71"/>
      <c r="J154" s="71"/>
      <c r="K154" s="71"/>
      <c r="L154" s="71"/>
    </row>
    <row r="155" ht="15.75" customHeight="1">
      <c r="E155" s="196"/>
      <c r="F155" s="196"/>
      <c r="G155" s="196"/>
      <c r="H155" s="197"/>
      <c r="I155" s="197"/>
      <c r="J155" s="98"/>
      <c r="K155" s="169"/>
      <c r="L155" s="169"/>
    </row>
    <row r="156" ht="15.75" customHeight="1">
      <c r="E156" s="196"/>
      <c r="F156" s="196"/>
      <c r="G156" s="196"/>
      <c r="H156" s="197"/>
      <c r="I156" s="197"/>
      <c r="J156" s="98"/>
      <c r="K156" s="169"/>
      <c r="L156" s="169"/>
    </row>
    <row r="157" ht="15.75" customHeight="1">
      <c r="E157" s="63"/>
      <c r="F157" s="63"/>
      <c r="G157" s="63"/>
      <c r="H157" s="29"/>
      <c r="I157" s="198"/>
      <c r="J157" s="63"/>
      <c r="K157" s="53"/>
      <c r="L157" s="53"/>
    </row>
    <row r="158" ht="15.75" customHeight="1">
      <c r="E158" s="198"/>
      <c r="F158" s="63"/>
      <c r="G158" s="199"/>
      <c r="H158" s="29"/>
      <c r="I158" s="199"/>
      <c r="J158" s="200"/>
      <c r="K158" s="201"/>
      <c r="L158" s="201"/>
    </row>
    <row r="159" ht="15.75" customHeight="1">
      <c r="E159" s="63"/>
      <c r="F159" s="200"/>
      <c r="G159" s="199"/>
      <c r="H159" s="29"/>
      <c r="I159" s="199"/>
      <c r="J159" s="200"/>
      <c r="K159" s="201"/>
      <c r="L159" s="201"/>
    </row>
    <row r="160" ht="15.75" customHeight="1">
      <c r="E160" s="63"/>
      <c r="F160" s="202"/>
      <c r="G160" s="63"/>
      <c r="H160" s="29"/>
      <c r="I160" s="29"/>
      <c r="J160" s="63"/>
      <c r="K160" s="53"/>
      <c r="L160" s="53"/>
    </row>
    <row r="161" ht="15.75" customHeight="1">
      <c r="E161" s="63"/>
      <c r="F161" s="63"/>
      <c r="G161" s="63"/>
      <c r="H161" s="29"/>
      <c r="I161" s="29"/>
      <c r="J161" s="198"/>
      <c r="K161" s="203"/>
      <c r="L161" s="203"/>
    </row>
    <row r="162" ht="15.75" customHeight="1">
      <c r="E162" s="200"/>
      <c r="F162" s="200"/>
      <c r="G162" s="199"/>
      <c r="H162" s="199"/>
      <c r="I162" s="199"/>
      <c r="J162" s="198"/>
      <c r="K162" s="203"/>
      <c r="L162" s="203"/>
    </row>
    <row r="163" ht="15.75" customHeight="1">
      <c r="E163" s="200"/>
      <c r="F163" s="200"/>
      <c r="G163" s="202"/>
      <c r="H163" s="199"/>
      <c r="I163" s="199"/>
      <c r="J163" s="198"/>
      <c r="K163" s="203"/>
      <c r="L163" s="203"/>
    </row>
    <row r="164" ht="15.75" customHeight="1">
      <c r="E164" s="200"/>
      <c r="F164" s="63"/>
      <c r="G164" s="202"/>
      <c r="H164" s="29"/>
      <c r="I164" s="198"/>
      <c r="J164" s="198"/>
      <c r="K164" s="203"/>
      <c r="L164" s="203"/>
    </row>
    <row r="165" ht="15.75" customHeight="1">
      <c r="E165" s="200"/>
      <c r="F165" s="202"/>
      <c r="G165" s="204"/>
      <c r="H165" s="199"/>
      <c r="I165" s="198"/>
      <c r="J165" s="198"/>
      <c r="K165" s="203"/>
      <c r="L165" s="203"/>
    </row>
    <row r="166" ht="15.75" customHeight="1">
      <c r="E166" s="200"/>
      <c r="F166" s="200"/>
      <c r="G166" s="199"/>
      <c r="H166" s="199"/>
      <c r="I166" s="199"/>
      <c r="J166" s="198"/>
      <c r="K166" s="203"/>
      <c r="L166" s="203"/>
    </row>
    <row r="167" ht="15.75" customHeight="1">
      <c r="E167" s="63"/>
      <c r="F167" s="63"/>
      <c r="G167" s="63"/>
      <c r="H167" s="29"/>
      <c r="I167" s="29"/>
      <c r="J167" s="198"/>
      <c r="K167" s="203"/>
      <c r="L167" s="203"/>
    </row>
    <row r="168" ht="15.75" customHeight="1">
      <c r="E168" s="63"/>
      <c r="F168" s="200"/>
      <c r="G168" s="63"/>
      <c r="H168" s="29"/>
      <c r="I168" s="198"/>
      <c r="J168" s="63"/>
      <c r="K168" s="53"/>
      <c r="L168" s="53"/>
    </row>
    <row r="169" ht="15.75" customHeight="1">
      <c r="E169" s="63"/>
      <c r="F169" s="63"/>
      <c r="G169" s="63"/>
      <c r="H169" s="29"/>
      <c r="I169" s="199"/>
      <c r="J169" s="63"/>
      <c r="K169" s="53"/>
      <c r="L169" s="53"/>
    </row>
    <row r="170" ht="15.75" customHeight="1">
      <c r="E170" s="63"/>
      <c r="F170" s="202"/>
      <c r="G170" s="63"/>
      <c r="H170" s="29"/>
      <c r="I170" s="29"/>
      <c r="J170" s="198"/>
      <c r="K170" s="203"/>
      <c r="L170" s="203"/>
    </row>
    <row r="171" ht="15.75" customHeight="1">
      <c r="E171" s="200"/>
      <c r="F171" s="63"/>
      <c r="G171" s="63"/>
      <c r="H171" s="29"/>
      <c r="I171" s="198"/>
      <c r="J171" s="198"/>
      <c r="K171" s="203"/>
      <c r="L171" s="203"/>
    </row>
    <row r="172" ht="15.75" customHeight="1">
      <c r="E172" s="63"/>
      <c r="F172" s="63"/>
      <c r="G172" s="63"/>
      <c r="H172" s="29"/>
      <c r="I172" s="199"/>
      <c r="J172" s="198"/>
      <c r="K172" s="203"/>
      <c r="L172" s="203"/>
    </row>
    <row r="173" ht="15.75" customHeight="1">
      <c r="E173" s="63"/>
      <c r="F173" s="63"/>
      <c r="G173" s="63"/>
      <c r="H173" s="29"/>
      <c r="I173" s="199"/>
      <c r="J173" s="63"/>
      <c r="K173" s="53"/>
      <c r="L173" s="53"/>
    </row>
    <row r="174" ht="15.75" customHeight="1">
      <c r="E174" s="63"/>
      <c r="F174" s="63"/>
      <c r="G174" s="63"/>
      <c r="H174" s="29"/>
      <c r="I174" s="29"/>
      <c r="J174" s="198"/>
      <c r="K174" s="203"/>
      <c r="L174" s="203"/>
    </row>
    <row r="175" ht="15.75" customHeight="1">
      <c r="E175" s="63"/>
      <c r="F175" s="63"/>
      <c r="G175" s="63"/>
      <c r="H175" s="29"/>
      <c r="I175" s="29"/>
      <c r="J175" s="63"/>
      <c r="K175" s="53"/>
      <c r="L175" s="53"/>
    </row>
    <row r="176" ht="15.75" customHeight="1">
      <c r="E176" s="63"/>
      <c r="F176" s="63"/>
      <c r="G176" s="63"/>
      <c r="H176" s="29"/>
      <c r="I176" s="29"/>
      <c r="J176" s="63"/>
      <c r="K176" s="53"/>
      <c r="L176" s="53"/>
    </row>
    <row r="177" ht="15.75" customHeight="1">
      <c r="E177" s="63"/>
      <c r="F177" s="63"/>
      <c r="G177" s="202"/>
      <c r="H177" s="29"/>
      <c r="I177" s="198"/>
      <c r="J177" s="198"/>
      <c r="K177" s="203"/>
      <c r="L177" s="203"/>
    </row>
    <row r="178" ht="15.75" customHeight="1">
      <c r="E178" s="198"/>
      <c r="F178" s="202"/>
      <c r="G178" s="202"/>
      <c r="H178" s="29"/>
      <c r="I178" s="198"/>
      <c r="J178" s="198"/>
      <c r="K178" s="203"/>
      <c r="L178" s="203"/>
    </row>
    <row r="179" ht="15.75" customHeight="1">
      <c r="E179" s="198"/>
      <c r="F179" s="63"/>
      <c r="G179" s="202"/>
      <c r="H179" s="29"/>
      <c r="I179" s="29"/>
      <c r="J179" s="198"/>
      <c r="K179" s="203"/>
      <c r="L179" s="203"/>
    </row>
    <row r="180" ht="15.75" customHeight="1">
      <c r="E180" s="198"/>
      <c r="F180" s="200"/>
      <c r="G180" s="63"/>
      <c r="H180" s="29"/>
      <c r="I180" s="198"/>
      <c r="J180" s="63"/>
      <c r="K180" s="53"/>
      <c r="L180" s="53"/>
    </row>
    <row r="181" ht="15.75" customHeight="1">
      <c r="E181" s="63"/>
      <c r="F181" s="200"/>
      <c r="G181" s="202"/>
      <c r="H181" s="199"/>
      <c r="I181" s="199"/>
      <c r="J181" s="200"/>
      <c r="K181" s="201"/>
      <c r="L181" s="201"/>
    </row>
    <row r="182" ht="15.75" customHeight="1">
      <c r="E182" s="205"/>
      <c r="F182" s="200"/>
      <c r="G182" s="199"/>
      <c r="H182" s="29"/>
      <c r="I182" s="199"/>
      <c r="J182" s="200"/>
      <c r="K182" s="201"/>
      <c r="L182" s="201"/>
    </row>
    <row r="183" ht="15.75" customHeight="1">
      <c r="E183" s="63"/>
      <c r="F183" s="63"/>
      <c r="G183" s="63"/>
      <c r="H183" s="29"/>
      <c r="I183" s="29"/>
      <c r="J183" s="63"/>
      <c r="K183" s="53"/>
      <c r="L183" s="53"/>
    </row>
    <row r="184" ht="15.75" customHeight="1">
      <c r="E184" s="63"/>
      <c r="F184" s="63"/>
      <c r="G184" s="199"/>
      <c r="H184" s="29"/>
      <c r="I184" s="198"/>
      <c r="J184" s="198"/>
      <c r="K184" s="203"/>
      <c r="L184" s="203"/>
    </row>
    <row r="185" ht="15.75" customHeight="1">
      <c r="E185" s="205"/>
      <c r="F185" s="200"/>
      <c r="G185" s="63"/>
      <c r="H185" s="29"/>
      <c r="I185" s="199"/>
      <c r="J185" s="198"/>
      <c r="K185" s="203"/>
      <c r="L185" s="203"/>
    </row>
    <row r="186" ht="15.75" customHeight="1">
      <c r="E186" s="63"/>
      <c r="F186" s="200"/>
      <c r="G186" s="63"/>
      <c r="H186" s="199"/>
      <c r="I186" s="198"/>
      <c r="J186" s="200"/>
      <c r="K186" s="201"/>
      <c r="L186" s="201"/>
    </row>
    <row r="187" ht="15.75" customHeight="1">
      <c r="E187" s="63"/>
      <c r="F187" s="63"/>
      <c r="G187" s="202"/>
      <c r="H187" s="29"/>
      <c r="I187" s="29"/>
      <c r="J187" s="198"/>
      <c r="K187" s="203"/>
      <c r="L187" s="203"/>
    </row>
    <row r="188" ht="15.75" customHeight="1">
      <c r="E188" s="205"/>
      <c r="F188" s="202"/>
      <c r="G188" s="63"/>
      <c r="H188" s="29"/>
      <c r="I188" s="199"/>
      <c r="J188" s="63"/>
      <c r="K188" s="53"/>
      <c r="L188" s="53"/>
    </row>
    <row r="189" ht="15.75" customHeight="1">
      <c r="E189" s="200"/>
      <c r="F189" s="200"/>
      <c r="G189" s="199"/>
      <c r="H189" s="199"/>
      <c r="I189" s="199"/>
      <c r="J189" s="200"/>
      <c r="K189" s="201"/>
      <c r="L189" s="201"/>
    </row>
    <row r="190" ht="15.75" customHeight="1">
      <c r="E190" s="205"/>
      <c r="F190" s="200"/>
      <c r="G190" s="202"/>
      <c r="H190" s="199"/>
      <c r="I190" s="199"/>
      <c r="J190" s="198"/>
      <c r="K190" s="203"/>
      <c r="L190" s="203"/>
    </row>
    <row r="191" ht="15.75" customHeight="1">
      <c r="E191" s="63"/>
      <c r="F191" s="63"/>
      <c r="G191" s="202"/>
      <c r="H191" s="29"/>
      <c r="I191" s="198"/>
      <c r="J191" s="198"/>
      <c r="K191" s="203"/>
      <c r="L191" s="203"/>
    </row>
    <row r="192" ht="15.75" customHeight="1">
      <c r="E192" s="205"/>
      <c r="F192" s="200"/>
      <c r="G192" s="199"/>
      <c r="H192" s="199"/>
      <c r="I192" s="198"/>
      <c r="J192" s="200"/>
      <c r="K192" s="201"/>
      <c r="L192" s="201"/>
    </row>
    <row r="193" ht="15.75" customHeight="1">
      <c r="E193" s="63"/>
      <c r="F193" s="63"/>
      <c r="G193" s="202"/>
      <c r="H193" s="29"/>
      <c r="I193" s="29"/>
      <c r="J193" s="198"/>
      <c r="K193" s="203"/>
      <c r="L193" s="203"/>
    </row>
    <row r="194" ht="15.75" customHeight="1">
      <c r="E194" s="200"/>
      <c r="F194" s="63"/>
      <c r="G194" s="63"/>
      <c r="H194" s="29"/>
      <c r="I194" s="29"/>
      <c r="J194" s="63"/>
      <c r="K194" s="53"/>
      <c r="L194" s="53"/>
    </row>
    <row r="195" ht="15.75" customHeight="1">
      <c r="E195" s="200"/>
      <c r="F195" s="63"/>
      <c r="G195" s="199"/>
      <c r="H195" s="29"/>
      <c r="I195" s="199"/>
      <c r="J195" s="198"/>
      <c r="K195" s="203"/>
      <c r="L195" s="203"/>
    </row>
    <row r="196" ht="15.75" customHeight="1">
      <c r="E196" s="200"/>
      <c r="F196" s="63"/>
      <c r="G196" s="202"/>
      <c r="H196" s="199"/>
      <c r="I196" s="199"/>
      <c r="J196" s="198"/>
      <c r="K196" s="203"/>
      <c r="L196" s="203"/>
    </row>
    <row r="197" ht="15.75" customHeight="1">
      <c r="E197" s="200"/>
      <c r="F197" s="200"/>
      <c r="G197" s="63"/>
      <c r="H197" s="199"/>
      <c r="I197" s="199"/>
      <c r="J197" s="198"/>
      <c r="K197" s="203"/>
      <c r="L197" s="203"/>
    </row>
    <row r="198" ht="15.75" customHeight="1">
      <c r="E198" s="200"/>
      <c r="F198" s="200"/>
      <c r="G198" s="199"/>
      <c r="H198" s="29"/>
      <c r="I198" s="199"/>
      <c r="J198" s="198"/>
      <c r="K198" s="203"/>
      <c r="L198" s="203"/>
    </row>
    <row r="199" ht="15.75" customHeight="1">
      <c r="E199" s="63"/>
      <c r="F199" s="63"/>
      <c r="G199" s="63"/>
      <c r="H199" s="29"/>
      <c r="I199" s="29"/>
      <c r="J199" s="63"/>
      <c r="K199" s="53"/>
      <c r="L199" s="53"/>
    </row>
    <row r="200" ht="15.75" customHeight="1">
      <c r="E200" s="200"/>
      <c r="F200" s="63"/>
      <c r="G200" s="63"/>
      <c r="H200" s="29"/>
      <c r="I200" s="29"/>
      <c r="J200" s="63"/>
      <c r="K200" s="53"/>
      <c r="L200" s="53"/>
    </row>
    <row r="201" ht="15.75" customHeight="1">
      <c r="E201" s="63"/>
      <c r="F201" s="200"/>
      <c r="G201" s="63"/>
      <c r="H201" s="29"/>
      <c r="I201" s="199"/>
      <c r="J201" s="63"/>
      <c r="K201" s="53"/>
      <c r="L201" s="53"/>
    </row>
    <row r="202" ht="15.75" customHeight="1">
      <c r="E202" s="63"/>
      <c r="F202" s="63"/>
      <c r="G202" s="63"/>
      <c r="H202" s="29"/>
      <c r="I202" s="29"/>
      <c r="J202" s="198"/>
      <c r="K202" s="203"/>
      <c r="L202" s="203"/>
    </row>
    <row r="203" ht="15.75" customHeight="1">
      <c r="E203" s="205"/>
      <c r="F203" s="200"/>
      <c r="G203" s="199"/>
      <c r="H203" s="29"/>
      <c r="I203" s="199"/>
      <c r="J203" s="198"/>
      <c r="K203" s="203"/>
      <c r="L203" s="203"/>
    </row>
    <row r="204" ht="15.75" customHeight="1">
      <c r="E204" s="63"/>
      <c r="F204" s="63"/>
      <c r="G204" s="202"/>
      <c r="H204" s="29"/>
      <c r="I204" s="29"/>
      <c r="J204" s="198"/>
      <c r="K204" s="203"/>
      <c r="L204" s="203"/>
    </row>
    <row r="205" ht="15.75" customHeight="1">
      <c r="E205" s="63"/>
      <c r="F205" s="63"/>
      <c r="G205" s="63"/>
      <c r="H205" s="29"/>
      <c r="I205" s="29"/>
      <c r="J205" s="63"/>
      <c r="K205" s="53"/>
      <c r="L205" s="53"/>
    </row>
    <row r="206" ht="15.75" customHeight="1">
      <c r="E206" s="205"/>
      <c r="F206" s="200"/>
      <c r="G206" s="63"/>
      <c r="H206" s="29"/>
      <c r="I206" s="199"/>
      <c r="J206" s="198"/>
      <c r="K206" s="203"/>
      <c r="L206" s="203"/>
    </row>
    <row r="207" ht="15.75" customHeight="1">
      <c r="E207" s="63"/>
      <c r="F207" s="63"/>
      <c r="G207" s="202"/>
      <c r="H207" s="29"/>
      <c r="I207" s="198"/>
      <c r="J207" s="63"/>
      <c r="K207" s="53"/>
      <c r="L207" s="53"/>
    </row>
    <row r="208" ht="15.75" customHeight="1">
      <c r="E208" s="63"/>
      <c r="F208" s="63"/>
      <c r="G208" s="63"/>
      <c r="H208" s="29"/>
      <c r="I208" s="29"/>
      <c r="J208" s="198"/>
      <c r="K208" s="203"/>
      <c r="L208" s="203"/>
    </row>
    <row r="209" ht="15.75" customHeight="1">
      <c r="E209" s="63"/>
      <c r="F209" s="63"/>
      <c r="G209" s="63"/>
      <c r="H209" s="29"/>
      <c r="I209" s="198"/>
      <c r="J209" s="198"/>
      <c r="K209" s="203"/>
      <c r="L209" s="203"/>
    </row>
    <row r="210" ht="15.75" customHeight="1">
      <c r="E210" s="63"/>
      <c r="F210" s="63"/>
      <c r="G210" s="63"/>
      <c r="H210" s="29"/>
      <c r="I210" s="198"/>
      <c r="J210" s="198"/>
      <c r="K210" s="203"/>
      <c r="L210" s="203"/>
    </row>
    <row r="211" ht="15.75" customHeight="1">
      <c r="E211" s="205"/>
      <c r="F211" s="202"/>
      <c r="G211" s="202"/>
      <c r="H211" s="29"/>
      <c r="I211" s="198"/>
      <c r="J211" s="198"/>
      <c r="K211" s="203"/>
      <c r="L211" s="203"/>
    </row>
    <row r="212" ht="15.75" customHeight="1">
      <c r="E212" s="63"/>
      <c r="F212" s="200"/>
      <c r="G212" s="63"/>
      <c r="H212" s="29"/>
      <c r="I212" s="29"/>
      <c r="J212" s="198"/>
      <c r="K212" s="203"/>
      <c r="L212" s="203"/>
    </row>
    <row r="213" ht="15.75" customHeight="1">
      <c r="E213" s="205"/>
      <c r="F213" s="202"/>
      <c r="G213" s="202"/>
      <c r="H213" s="29"/>
      <c r="I213" s="198"/>
      <c r="J213" s="200"/>
      <c r="K213" s="201"/>
      <c r="L213" s="201"/>
    </row>
    <row r="214" ht="15.75" customHeight="1">
      <c r="E214" s="63"/>
      <c r="F214" s="200"/>
      <c r="G214" s="199"/>
      <c r="H214" s="29"/>
      <c r="I214" s="199"/>
      <c r="J214" s="198"/>
      <c r="K214" s="203"/>
      <c r="L214" s="203"/>
    </row>
    <row r="215" ht="15.75" customHeight="1">
      <c r="E215" s="200"/>
      <c r="F215" s="200"/>
      <c r="G215" s="199"/>
      <c r="H215" s="29"/>
      <c r="I215" s="198"/>
      <c r="J215" s="198"/>
      <c r="K215" s="203"/>
      <c r="L215" s="203"/>
    </row>
    <row r="216" ht="15.75" customHeight="1">
      <c r="E216" s="200"/>
      <c r="F216" s="200"/>
      <c r="G216" s="63"/>
      <c r="H216" s="29"/>
      <c r="I216" s="29"/>
      <c r="J216" s="63"/>
      <c r="K216" s="53"/>
      <c r="L216" s="53"/>
    </row>
    <row r="217" ht="15.75" customHeight="1">
      <c r="E217" s="63"/>
      <c r="F217" s="63"/>
      <c r="G217" s="63"/>
      <c r="H217" s="29"/>
      <c r="I217" s="29"/>
      <c r="J217" s="63"/>
      <c r="K217" s="53"/>
      <c r="L217" s="53"/>
    </row>
    <row r="218" ht="15.75" customHeight="1">
      <c r="E218" s="63"/>
      <c r="F218" s="63"/>
      <c r="G218" s="63"/>
      <c r="H218" s="29"/>
      <c r="I218" s="29"/>
      <c r="J218" s="63"/>
      <c r="K218" s="53"/>
      <c r="L218" s="53"/>
    </row>
    <row r="219" ht="15.75" customHeight="1">
      <c r="E219" s="63"/>
      <c r="F219" s="63"/>
      <c r="G219" s="63"/>
      <c r="H219" s="29"/>
      <c r="I219" s="29"/>
      <c r="J219" s="63"/>
      <c r="K219" s="53"/>
      <c r="L219" s="53"/>
    </row>
    <row r="220" ht="15.75" customHeight="1">
      <c r="E220" s="63"/>
      <c r="F220" s="63"/>
      <c r="G220" s="63"/>
      <c r="H220" s="29"/>
      <c r="I220" s="29"/>
      <c r="J220" s="63"/>
      <c r="K220" s="53"/>
      <c r="L220" s="53"/>
    </row>
    <row r="221" ht="15.75" customHeight="1">
      <c r="E221" s="63"/>
      <c r="F221" s="63"/>
      <c r="G221" s="63"/>
      <c r="H221" s="29"/>
      <c r="I221" s="29"/>
      <c r="J221" s="63"/>
      <c r="K221" s="53"/>
      <c r="L221" s="53"/>
    </row>
    <row r="222" ht="15.75" customHeight="1">
      <c r="E222" s="63"/>
      <c r="F222" s="63"/>
      <c r="G222" s="63"/>
      <c r="H222" s="29"/>
      <c r="I222" s="29"/>
      <c r="J222" s="63"/>
      <c r="K222" s="53"/>
      <c r="L222" s="53"/>
    </row>
    <row r="223" ht="15.75" customHeight="1">
      <c r="E223" s="206"/>
      <c r="F223" s="206"/>
      <c r="G223" s="206"/>
      <c r="H223" s="207"/>
      <c r="I223" s="207"/>
      <c r="J223" s="206"/>
      <c r="K223" s="208"/>
      <c r="L223" s="208"/>
    </row>
    <row r="224" ht="15.75" customHeight="1">
      <c r="E224" s="63"/>
      <c r="F224" s="63"/>
      <c r="G224" s="63"/>
      <c r="H224" s="29"/>
      <c r="I224" s="29"/>
      <c r="J224" s="63"/>
      <c r="K224" s="53"/>
      <c r="L224" s="53"/>
    </row>
    <row r="225" ht="15.75" customHeight="1">
      <c r="E225" s="63"/>
      <c r="F225" s="63"/>
      <c r="G225" s="63"/>
      <c r="H225" s="29"/>
      <c r="I225" s="29"/>
      <c r="J225" s="63"/>
      <c r="K225" s="53"/>
      <c r="L225" s="53"/>
    </row>
    <row r="226" ht="15.75" customHeight="1">
      <c r="E226" s="63"/>
      <c r="F226" s="63"/>
      <c r="G226" s="63"/>
      <c r="H226" s="29"/>
      <c r="I226" s="29"/>
      <c r="J226" s="63"/>
      <c r="K226" s="53"/>
      <c r="L226" s="53"/>
    </row>
    <row r="227" ht="15.75" customHeight="1">
      <c r="E227" s="63"/>
      <c r="F227" s="63"/>
      <c r="G227" s="63"/>
      <c r="H227" s="29"/>
      <c r="I227" s="29"/>
      <c r="J227" s="63"/>
      <c r="K227" s="53"/>
      <c r="L227" s="53"/>
    </row>
    <row r="228" ht="15.75" customHeight="1">
      <c r="E228" s="63"/>
      <c r="F228" s="63"/>
      <c r="G228" s="63"/>
      <c r="H228" s="29"/>
      <c r="I228" s="29"/>
      <c r="J228" s="63"/>
      <c r="K228" s="53"/>
      <c r="L228" s="53"/>
    </row>
    <row r="229" ht="15.75" customHeight="1">
      <c r="E229" s="209"/>
      <c r="F229" s="209"/>
      <c r="G229" s="209"/>
      <c r="H229" s="210"/>
      <c r="I229" s="210"/>
      <c r="J229" s="209"/>
      <c r="K229" s="67"/>
      <c r="L229" s="67"/>
    </row>
    <row r="230" ht="15.75" customHeight="1">
      <c r="E230" s="67"/>
      <c r="F230" s="211"/>
      <c r="G230" s="211"/>
      <c r="H230" s="212"/>
      <c r="I230" s="212"/>
      <c r="J230" s="211"/>
      <c r="K230" s="67"/>
      <c r="L230" s="67"/>
    </row>
    <row r="231" ht="15.75" customHeight="1">
      <c r="E231" s="67"/>
      <c r="F231" s="67"/>
      <c r="G231" s="67"/>
      <c r="H231" s="213"/>
      <c r="I231" s="213"/>
      <c r="J231" s="67"/>
      <c r="K231" s="67"/>
      <c r="L231" s="67"/>
    </row>
    <row r="232" ht="15.75" customHeight="1">
      <c r="E232" s="71"/>
      <c r="F232" s="71"/>
      <c r="G232" s="71"/>
      <c r="H232" s="214"/>
      <c r="I232" s="214"/>
      <c r="J232" s="71"/>
      <c r="K232" s="71"/>
      <c r="L232" s="71"/>
    </row>
    <row r="233" ht="15.75" customHeight="1">
      <c r="E233" s="71"/>
      <c r="F233" s="71"/>
      <c r="G233" s="71"/>
      <c r="H233" s="214"/>
      <c r="I233" s="214"/>
      <c r="J233" s="71"/>
      <c r="K233" s="71"/>
      <c r="L233" s="71"/>
    </row>
    <row r="234" ht="15.75" customHeight="1">
      <c r="E234" s="71"/>
      <c r="F234" s="71"/>
      <c r="G234" s="71"/>
      <c r="H234" s="214"/>
      <c r="I234" s="214"/>
      <c r="J234" s="71"/>
      <c r="K234" s="71"/>
      <c r="L234" s="71"/>
    </row>
    <row r="235" ht="15.75" customHeight="1">
      <c r="E235" s="71"/>
      <c r="F235" s="71"/>
      <c r="G235" s="71"/>
      <c r="H235" s="214"/>
      <c r="I235" s="214"/>
      <c r="J235" s="71"/>
      <c r="K235" s="71"/>
      <c r="L235" s="71"/>
    </row>
    <row r="236" ht="15.75" customHeight="1">
      <c r="E236" s="71"/>
      <c r="F236" s="71"/>
      <c r="G236" s="71"/>
      <c r="H236" s="214"/>
      <c r="I236" s="214"/>
      <c r="J236" s="71"/>
      <c r="K236" s="71"/>
      <c r="L236" s="71"/>
    </row>
    <row r="237" ht="15.75" customHeight="1">
      <c r="E237" s="71"/>
      <c r="F237" s="71"/>
      <c r="G237" s="71"/>
      <c r="H237" s="214"/>
      <c r="I237" s="214"/>
      <c r="J237" s="71"/>
      <c r="K237" s="71"/>
      <c r="L237" s="71"/>
    </row>
    <row r="238" ht="15.75" customHeight="1">
      <c r="E238" s="71"/>
      <c r="F238" s="71"/>
      <c r="G238" s="71"/>
      <c r="H238" s="214"/>
      <c r="I238" s="214"/>
      <c r="J238" s="71"/>
      <c r="K238" s="71"/>
      <c r="L238" s="71"/>
    </row>
    <row r="239" ht="15.75" customHeight="1">
      <c r="E239" s="71"/>
      <c r="F239" s="71"/>
      <c r="G239" s="71"/>
      <c r="H239" s="214"/>
      <c r="I239" s="214"/>
      <c r="J239" s="71"/>
      <c r="K239" s="71"/>
      <c r="L239" s="71"/>
    </row>
    <row r="240" ht="15.75" customHeight="1">
      <c r="E240" s="71"/>
      <c r="F240" s="71"/>
      <c r="G240" s="71"/>
      <c r="H240" s="214"/>
      <c r="I240" s="214"/>
      <c r="J240" s="71"/>
      <c r="K240" s="71"/>
      <c r="L240" s="71"/>
    </row>
    <row r="241" ht="15.75" customHeight="1">
      <c r="E241" s="71"/>
      <c r="F241" s="71"/>
      <c r="G241" s="71"/>
      <c r="H241" s="214"/>
      <c r="I241" s="214"/>
      <c r="J241" s="71"/>
      <c r="K241" s="71"/>
      <c r="L241" s="71"/>
    </row>
    <row r="242" ht="15.75" customHeight="1">
      <c r="E242" s="71"/>
      <c r="F242" s="71"/>
      <c r="G242" s="71"/>
      <c r="H242" s="214"/>
      <c r="I242" s="214"/>
      <c r="J242" s="71"/>
      <c r="K242" s="71"/>
      <c r="L242" s="71"/>
    </row>
    <row r="243" ht="15.75" customHeight="1">
      <c r="E243" s="71"/>
      <c r="F243" s="71"/>
      <c r="G243" s="71"/>
      <c r="H243" s="214"/>
      <c r="I243" s="214"/>
      <c r="J243" s="71"/>
      <c r="K243" s="71"/>
      <c r="L243" s="71"/>
    </row>
    <row r="244" ht="15.75" customHeight="1">
      <c r="E244" s="71"/>
      <c r="F244" s="71"/>
      <c r="G244" s="71"/>
      <c r="H244" s="214"/>
      <c r="I244" s="214"/>
      <c r="J244" s="71"/>
      <c r="K244" s="71"/>
      <c r="L244" s="71"/>
    </row>
    <row r="245" ht="15.75" customHeight="1">
      <c r="E245" s="71"/>
      <c r="F245" s="71"/>
      <c r="G245" s="71"/>
      <c r="H245" s="214"/>
      <c r="I245" s="214"/>
      <c r="J245" s="71"/>
      <c r="K245" s="71"/>
      <c r="L245" s="71"/>
    </row>
    <row r="246" ht="15.75" customHeight="1">
      <c r="E246" s="71"/>
      <c r="F246" s="71"/>
      <c r="G246" s="71"/>
      <c r="H246" s="214"/>
      <c r="I246" s="214"/>
      <c r="J246" s="71"/>
      <c r="K246" s="71"/>
      <c r="L246" s="71"/>
    </row>
    <row r="247" ht="15.75" customHeight="1">
      <c r="E247" s="71"/>
      <c r="F247" s="71"/>
      <c r="G247" s="71"/>
      <c r="H247" s="214"/>
      <c r="I247" s="214"/>
      <c r="J247" s="71"/>
      <c r="K247" s="71"/>
      <c r="L247" s="71"/>
    </row>
    <row r="248" ht="15.75" customHeight="1">
      <c r="E248" s="71"/>
      <c r="F248" s="71"/>
      <c r="G248" s="71"/>
      <c r="H248" s="214"/>
      <c r="I248" s="214"/>
      <c r="J248" s="71"/>
      <c r="K248" s="71"/>
      <c r="L248" s="71"/>
    </row>
    <row r="249" ht="15.75" customHeight="1">
      <c r="E249" s="71"/>
      <c r="F249" s="71"/>
      <c r="G249" s="71"/>
      <c r="H249" s="214"/>
      <c r="I249" s="214"/>
      <c r="J249" s="71"/>
      <c r="K249" s="71"/>
      <c r="L249" s="71"/>
    </row>
    <row r="250" ht="15.75" customHeight="1">
      <c r="E250" s="71"/>
      <c r="F250" s="71"/>
      <c r="G250" s="71"/>
      <c r="H250" s="214"/>
      <c r="I250" s="214"/>
      <c r="J250" s="71"/>
      <c r="K250" s="71"/>
      <c r="L250" s="71"/>
    </row>
    <row r="251" ht="15.75" customHeight="1">
      <c r="E251" s="71"/>
      <c r="F251" s="71"/>
      <c r="G251" s="71"/>
      <c r="H251" s="214"/>
      <c r="I251" s="214"/>
      <c r="J251" s="71"/>
      <c r="K251" s="71"/>
      <c r="L251" s="71"/>
    </row>
    <row r="252" ht="15.75" customHeight="1">
      <c r="E252" s="71"/>
      <c r="F252" s="71"/>
      <c r="G252" s="71"/>
      <c r="H252" s="214"/>
      <c r="I252" s="214"/>
      <c r="J252" s="71"/>
      <c r="K252" s="71"/>
      <c r="L252" s="71"/>
    </row>
    <row r="253" ht="15.75" customHeight="1">
      <c r="E253" s="71"/>
      <c r="F253" s="71"/>
      <c r="G253" s="71"/>
      <c r="H253" s="214"/>
      <c r="I253" s="214"/>
      <c r="J253" s="71"/>
      <c r="K253" s="71"/>
      <c r="L253" s="71"/>
    </row>
    <row r="254" ht="15.75" customHeight="1">
      <c r="E254" s="71"/>
      <c r="F254" s="71"/>
      <c r="G254" s="71"/>
      <c r="H254" s="214"/>
      <c r="I254" s="214"/>
      <c r="J254" s="71"/>
      <c r="K254" s="71"/>
      <c r="L254" s="71"/>
    </row>
    <row r="255" ht="15.75" customHeight="1">
      <c r="E255" s="71"/>
      <c r="F255" s="71"/>
      <c r="G255" s="71"/>
      <c r="H255" s="214"/>
      <c r="I255" s="214"/>
      <c r="J255" s="71"/>
      <c r="K255" s="71"/>
      <c r="L255" s="71"/>
    </row>
    <row r="256" ht="15.75" customHeight="1">
      <c r="E256" s="71"/>
      <c r="F256" s="71"/>
      <c r="G256" s="71"/>
      <c r="H256" s="214"/>
      <c r="I256" s="214"/>
      <c r="J256" s="71"/>
      <c r="K256" s="71"/>
      <c r="L256" s="71"/>
    </row>
    <row r="257" ht="15.75" customHeight="1">
      <c r="E257" s="71"/>
      <c r="F257" s="71"/>
      <c r="G257" s="71"/>
      <c r="H257" s="214"/>
      <c r="I257" s="214"/>
      <c r="J257" s="71"/>
      <c r="K257" s="71"/>
      <c r="L257" s="71"/>
    </row>
    <row r="258" ht="15.75" customHeight="1">
      <c r="E258" s="71"/>
      <c r="F258" s="71"/>
      <c r="G258" s="71"/>
      <c r="H258" s="214"/>
      <c r="I258" s="214"/>
      <c r="J258" s="71"/>
      <c r="K258" s="71"/>
      <c r="L258" s="71"/>
    </row>
    <row r="259" ht="15.75" customHeight="1">
      <c r="E259" s="71"/>
      <c r="F259" s="71"/>
      <c r="G259" s="71"/>
      <c r="H259" s="214"/>
      <c r="I259" s="214"/>
      <c r="J259" s="71"/>
      <c r="K259" s="71"/>
      <c r="L259" s="71"/>
    </row>
    <row r="260" ht="15.75" customHeight="1">
      <c r="E260" s="71"/>
      <c r="F260" s="71"/>
      <c r="G260" s="71"/>
      <c r="H260" s="214"/>
      <c r="I260" s="214"/>
      <c r="J260" s="71"/>
      <c r="K260" s="71"/>
      <c r="L260" s="71"/>
    </row>
    <row r="261" ht="15.75" customHeight="1">
      <c r="E261" s="71"/>
      <c r="F261" s="71"/>
      <c r="G261" s="71"/>
      <c r="H261" s="214"/>
      <c r="I261" s="214"/>
      <c r="J261" s="71"/>
      <c r="K261" s="71"/>
      <c r="L261" s="71"/>
    </row>
    <row r="262" ht="15.75" customHeight="1">
      <c r="E262" s="71"/>
      <c r="F262" s="71"/>
      <c r="G262" s="71"/>
      <c r="H262" s="214"/>
      <c r="I262" s="214"/>
      <c r="J262" s="71"/>
      <c r="K262" s="71"/>
      <c r="L262" s="71"/>
    </row>
    <row r="263" ht="15.75" customHeight="1">
      <c r="E263" s="71"/>
      <c r="F263" s="71"/>
      <c r="G263" s="71"/>
      <c r="H263" s="214"/>
      <c r="I263" s="214"/>
      <c r="J263" s="71"/>
      <c r="K263" s="71"/>
      <c r="L263" s="71"/>
    </row>
    <row r="264" ht="15.75" customHeight="1">
      <c r="E264" s="71"/>
      <c r="F264" s="71"/>
      <c r="G264" s="71"/>
      <c r="H264" s="214"/>
      <c r="I264" s="214"/>
      <c r="J264" s="71"/>
      <c r="K264" s="71"/>
      <c r="L264" s="71"/>
    </row>
    <row r="265" ht="15.75" customHeight="1">
      <c r="E265" s="71"/>
      <c r="F265" s="71"/>
      <c r="G265" s="71"/>
      <c r="H265" s="214"/>
      <c r="I265" s="214"/>
      <c r="J265" s="71"/>
      <c r="K265" s="71"/>
      <c r="L265" s="71"/>
    </row>
    <row r="266" ht="15.75" customHeight="1">
      <c r="E266" s="71"/>
      <c r="F266" s="71"/>
      <c r="G266" s="71"/>
      <c r="H266" s="214"/>
      <c r="I266" s="214"/>
      <c r="J266" s="71"/>
      <c r="K266" s="71"/>
      <c r="L266" s="71"/>
    </row>
    <row r="267" ht="15.75" customHeight="1">
      <c r="E267" s="71"/>
      <c r="F267" s="71"/>
      <c r="G267" s="71"/>
      <c r="H267" s="214"/>
      <c r="I267" s="214"/>
      <c r="J267" s="71"/>
      <c r="K267" s="71"/>
      <c r="L267" s="71"/>
    </row>
    <row r="268" ht="15.75" customHeight="1">
      <c r="E268" s="71"/>
      <c r="F268" s="71"/>
      <c r="G268" s="71"/>
      <c r="H268" s="214"/>
      <c r="I268" s="214"/>
      <c r="J268" s="71"/>
      <c r="K268" s="71"/>
      <c r="L268" s="71"/>
    </row>
    <row r="269" ht="15.75" customHeight="1">
      <c r="E269" s="71"/>
      <c r="F269" s="71"/>
      <c r="G269" s="71"/>
      <c r="H269" s="214"/>
      <c r="I269" s="214"/>
      <c r="J269" s="71"/>
      <c r="K269" s="71"/>
      <c r="L269" s="71"/>
    </row>
    <row r="270" ht="15.75" customHeight="1">
      <c r="E270" s="71"/>
      <c r="F270" s="71"/>
      <c r="G270" s="71"/>
      <c r="H270" s="214"/>
      <c r="I270" s="214"/>
      <c r="J270" s="71"/>
      <c r="K270" s="71"/>
      <c r="L270" s="71"/>
    </row>
    <row r="271" ht="15.75" customHeight="1">
      <c r="E271" s="71"/>
      <c r="F271" s="71"/>
      <c r="G271" s="71"/>
      <c r="H271" s="214"/>
      <c r="I271" s="214"/>
      <c r="J271" s="71"/>
      <c r="K271" s="71"/>
      <c r="L271" s="71"/>
    </row>
    <row r="272" ht="15.75" customHeight="1">
      <c r="E272" s="71"/>
      <c r="F272" s="71"/>
      <c r="G272" s="71"/>
      <c r="H272" s="214"/>
      <c r="I272" s="214"/>
      <c r="J272" s="71"/>
      <c r="K272" s="71"/>
      <c r="L272" s="71"/>
    </row>
    <row r="273" ht="15.75" customHeight="1">
      <c r="E273" s="71"/>
      <c r="F273" s="71"/>
      <c r="G273" s="71"/>
      <c r="H273" s="214"/>
      <c r="I273" s="214"/>
      <c r="J273" s="71"/>
      <c r="K273" s="71"/>
      <c r="L273" s="71"/>
    </row>
    <row r="274" ht="15.75" customHeight="1">
      <c r="E274" s="71"/>
      <c r="F274" s="71"/>
      <c r="G274" s="71"/>
      <c r="H274" s="214"/>
      <c r="I274" s="214"/>
      <c r="J274" s="71"/>
      <c r="K274" s="71"/>
      <c r="L274" s="71"/>
    </row>
    <row r="275" ht="15.75" customHeight="1">
      <c r="E275" s="71"/>
      <c r="F275" s="71"/>
      <c r="G275" s="71"/>
      <c r="H275" s="214"/>
      <c r="I275" s="214"/>
      <c r="J275" s="71"/>
      <c r="K275" s="71"/>
      <c r="L275" s="71"/>
    </row>
    <row r="276" ht="15.75" customHeight="1">
      <c r="E276" s="71"/>
      <c r="F276" s="71"/>
      <c r="G276" s="71"/>
      <c r="H276" s="214"/>
      <c r="I276" s="214"/>
      <c r="J276" s="71"/>
      <c r="K276" s="71"/>
      <c r="L276" s="71"/>
    </row>
    <row r="277" ht="15.75" customHeight="1">
      <c r="E277" s="71"/>
      <c r="F277" s="71"/>
      <c r="G277" s="71"/>
      <c r="H277" s="214"/>
      <c r="I277" s="214"/>
      <c r="J277" s="71"/>
      <c r="K277" s="71"/>
      <c r="L277" s="71"/>
    </row>
    <row r="278" ht="15.75" customHeight="1">
      <c r="E278" s="71"/>
      <c r="F278" s="71"/>
      <c r="G278" s="71"/>
      <c r="H278" s="214"/>
      <c r="I278" s="214"/>
      <c r="J278" s="71"/>
      <c r="K278" s="71"/>
      <c r="L278" s="71"/>
    </row>
    <row r="279" ht="15.75" customHeight="1">
      <c r="E279" s="71"/>
      <c r="F279" s="71"/>
      <c r="G279" s="71"/>
      <c r="H279" s="214"/>
      <c r="I279" s="214"/>
      <c r="J279" s="71"/>
      <c r="K279" s="71"/>
      <c r="L279" s="71"/>
    </row>
    <row r="280" ht="15.75" customHeight="1">
      <c r="E280" s="71"/>
      <c r="F280" s="71"/>
      <c r="G280" s="71"/>
      <c r="H280" s="214"/>
      <c r="I280" s="214"/>
      <c r="J280" s="71"/>
      <c r="K280" s="71"/>
      <c r="L280" s="71"/>
    </row>
    <row r="281" ht="15.75" customHeight="1">
      <c r="J281" s="215"/>
      <c r="K281" s="215"/>
      <c r="L281" s="215"/>
    </row>
    <row r="282" ht="15.75" customHeight="1">
      <c r="J282" s="215"/>
      <c r="K282" s="215"/>
      <c r="L282" s="215"/>
    </row>
    <row r="283" ht="15.75" customHeight="1">
      <c r="J283" s="215"/>
      <c r="K283" s="215"/>
      <c r="L283" s="215"/>
    </row>
    <row r="284" ht="15.75" customHeight="1">
      <c r="J284" s="215"/>
      <c r="K284" s="215"/>
      <c r="L284" s="215"/>
    </row>
    <row r="285" ht="15.75" customHeight="1">
      <c r="J285" s="215"/>
      <c r="K285" s="215"/>
      <c r="L285" s="215"/>
    </row>
    <row r="286" ht="15.75" customHeight="1">
      <c r="J286" s="215"/>
      <c r="K286" s="215"/>
      <c r="L286" s="215"/>
    </row>
    <row r="287" ht="15.75" customHeight="1">
      <c r="J287" s="215"/>
      <c r="K287" s="215"/>
      <c r="L287" s="215"/>
    </row>
    <row r="288" ht="15.75" customHeight="1">
      <c r="J288" s="215"/>
      <c r="K288" s="215"/>
      <c r="L288" s="215"/>
    </row>
    <row r="289" ht="15.75" customHeight="1">
      <c r="J289" s="215"/>
      <c r="K289" s="215"/>
      <c r="L289" s="215"/>
    </row>
    <row r="290" ht="15.75" customHeight="1">
      <c r="J290" s="215"/>
      <c r="K290" s="215"/>
      <c r="L290" s="215"/>
    </row>
    <row r="291" ht="15.75" customHeight="1">
      <c r="J291" s="215"/>
      <c r="K291" s="215"/>
      <c r="L291" s="215"/>
    </row>
    <row r="292" ht="15.75" customHeight="1">
      <c r="J292" s="215"/>
      <c r="K292" s="215"/>
      <c r="L292" s="215"/>
    </row>
    <row r="293" ht="15.75" customHeight="1">
      <c r="J293" s="215"/>
      <c r="K293" s="215"/>
      <c r="L293" s="215"/>
    </row>
    <row r="294" ht="15.75" customHeight="1">
      <c r="J294" s="215"/>
      <c r="K294" s="215"/>
      <c r="L294" s="215"/>
    </row>
    <row r="295" ht="15.75" customHeight="1">
      <c r="J295" s="215"/>
      <c r="K295" s="215"/>
      <c r="L295" s="215"/>
    </row>
    <row r="296" ht="15.75" customHeight="1">
      <c r="J296" s="215"/>
      <c r="K296" s="215"/>
      <c r="L296" s="215"/>
    </row>
    <row r="297" ht="15.75" customHeight="1">
      <c r="J297" s="215"/>
      <c r="K297" s="215"/>
      <c r="L297" s="215"/>
    </row>
    <row r="298" ht="15.75" customHeight="1">
      <c r="J298" s="215"/>
      <c r="K298" s="215"/>
      <c r="L298" s="215"/>
    </row>
    <row r="299" ht="15.75" customHeight="1">
      <c r="J299" s="215"/>
      <c r="K299" s="215"/>
      <c r="L299" s="215"/>
    </row>
    <row r="300" ht="15.75" customHeight="1">
      <c r="J300" s="215"/>
      <c r="K300" s="215"/>
      <c r="L300" s="215"/>
    </row>
    <row r="301" ht="15.75" customHeight="1">
      <c r="J301" s="215"/>
      <c r="K301" s="215"/>
      <c r="L301" s="215"/>
    </row>
    <row r="302" ht="15.75" customHeight="1">
      <c r="J302" s="215"/>
      <c r="K302" s="215"/>
      <c r="L302" s="215"/>
    </row>
    <row r="303" ht="15.75" customHeight="1">
      <c r="J303" s="215"/>
      <c r="K303" s="215"/>
      <c r="L303" s="215"/>
    </row>
    <row r="304" ht="15.75" customHeight="1">
      <c r="J304" s="215"/>
      <c r="K304" s="215"/>
      <c r="L304" s="215"/>
    </row>
    <row r="305" ht="15.75" customHeight="1">
      <c r="J305" s="215"/>
      <c r="K305" s="215"/>
      <c r="L305" s="215"/>
    </row>
    <row r="306" ht="15.75" customHeight="1">
      <c r="J306" s="215"/>
      <c r="K306" s="215"/>
      <c r="L306" s="215"/>
    </row>
    <row r="307" ht="15.75" customHeight="1">
      <c r="J307" s="215"/>
      <c r="K307" s="215"/>
      <c r="L307" s="215"/>
    </row>
    <row r="308" ht="15.75" customHeight="1">
      <c r="J308" s="215"/>
      <c r="K308" s="215"/>
      <c r="L308" s="215"/>
    </row>
    <row r="309" ht="15.75" customHeight="1">
      <c r="J309" s="215"/>
      <c r="K309" s="215"/>
      <c r="L309" s="215"/>
    </row>
    <row r="310" ht="15.75" customHeight="1">
      <c r="J310" s="215"/>
      <c r="K310" s="215"/>
      <c r="L310" s="215"/>
    </row>
    <row r="311" ht="15.75" customHeight="1">
      <c r="J311" s="215"/>
      <c r="K311" s="215"/>
      <c r="L311" s="215"/>
    </row>
    <row r="312" ht="15.75" customHeight="1">
      <c r="J312" s="215"/>
      <c r="K312" s="215"/>
      <c r="L312" s="215"/>
    </row>
    <row r="313" ht="15.75" customHeight="1">
      <c r="J313" s="215"/>
      <c r="K313" s="215"/>
      <c r="L313" s="215"/>
    </row>
    <row r="314" ht="15.75" customHeight="1">
      <c r="J314" s="215"/>
      <c r="K314" s="215"/>
      <c r="L314" s="215"/>
    </row>
    <row r="315" ht="15.75" customHeight="1">
      <c r="J315" s="215"/>
      <c r="K315" s="215"/>
      <c r="L315" s="215"/>
    </row>
    <row r="316" ht="15.75" customHeight="1">
      <c r="J316" s="215"/>
      <c r="K316" s="215"/>
      <c r="L316" s="215"/>
    </row>
    <row r="317" ht="15.75" customHeight="1">
      <c r="J317" s="215"/>
      <c r="K317" s="215"/>
      <c r="L317" s="215"/>
    </row>
    <row r="318" ht="15.75" customHeight="1">
      <c r="J318" s="215"/>
      <c r="K318" s="215"/>
      <c r="L318" s="215"/>
    </row>
    <row r="319" ht="15.75" customHeight="1">
      <c r="J319" s="215"/>
      <c r="K319" s="215"/>
      <c r="L319" s="215"/>
    </row>
    <row r="320" ht="15.75" customHeight="1">
      <c r="J320" s="215"/>
      <c r="K320" s="215"/>
      <c r="L320" s="215"/>
    </row>
    <row r="321" ht="15.75" customHeight="1">
      <c r="J321" s="215"/>
      <c r="K321" s="215"/>
      <c r="L321" s="215"/>
    </row>
    <row r="322" ht="15.75" customHeight="1">
      <c r="J322" s="215"/>
      <c r="K322" s="215"/>
      <c r="L322" s="215"/>
    </row>
    <row r="323" ht="15.75" customHeight="1">
      <c r="J323" s="215"/>
      <c r="K323" s="215"/>
      <c r="L323" s="215"/>
    </row>
    <row r="324" ht="15.75" customHeight="1">
      <c r="J324" s="215"/>
      <c r="K324" s="215"/>
      <c r="L324" s="215"/>
    </row>
    <row r="325" ht="15.75" customHeight="1">
      <c r="J325" s="215"/>
      <c r="K325" s="215"/>
      <c r="L325" s="215"/>
    </row>
    <row r="326" ht="15.75" customHeight="1">
      <c r="J326" s="215"/>
      <c r="K326" s="215"/>
      <c r="L326" s="215"/>
    </row>
    <row r="327" ht="15.75" customHeight="1">
      <c r="J327" s="215"/>
      <c r="K327" s="215"/>
      <c r="L327" s="215"/>
    </row>
    <row r="328" ht="15.75" customHeight="1">
      <c r="J328" s="215"/>
      <c r="K328" s="215"/>
      <c r="L328" s="215"/>
    </row>
    <row r="329" ht="15.75" customHeight="1">
      <c r="J329" s="215"/>
      <c r="K329" s="215"/>
      <c r="L329" s="215"/>
    </row>
    <row r="330" ht="15.75" customHeight="1">
      <c r="J330" s="215"/>
      <c r="K330" s="215"/>
      <c r="L330" s="215"/>
    </row>
    <row r="331" ht="15.75" customHeight="1">
      <c r="J331" s="215"/>
      <c r="K331" s="215"/>
      <c r="L331" s="215"/>
    </row>
    <row r="332" ht="15.75" customHeight="1">
      <c r="J332" s="215"/>
      <c r="K332" s="215"/>
      <c r="L332" s="215"/>
    </row>
    <row r="333" ht="15.75" customHeight="1">
      <c r="J333" s="215"/>
      <c r="K333" s="215"/>
      <c r="L333" s="215"/>
    </row>
    <row r="334" ht="15.75" customHeight="1">
      <c r="J334" s="215"/>
      <c r="K334" s="215"/>
      <c r="L334" s="215"/>
    </row>
    <row r="335" ht="15.75" customHeight="1">
      <c r="J335" s="215"/>
      <c r="K335" s="215"/>
      <c r="L335" s="215"/>
    </row>
    <row r="336" ht="15.75" customHeight="1">
      <c r="J336" s="215"/>
      <c r="K336" s="215"/>
      <c r="L336" s="215"/>
    </row>
    <row r="337" ht="15.75" customHeight="1">
      <c r="J337" s="215"/>
      <c r="K337" s="215"/>
      <c r="L337" s="215"/>
    </row>
    <row r="338" ht="15.75" customHeight="1">
      <c r="J338" s="215"/>
      <c r="K338" s="215"/>
      <c r="L338" s="215"/>
    </row>
    <row r="339" ht="15.75" customHeight="1">
      <c r="J339" s="215"/>
      <c r="K339" s="215"/>
      <c r="L339" s="215"/>
    </row>
    <row r="340" ht="15.75" customHeight="1">
      <c r="J340" s="215"/>
      <c r="K340" s="215"/>
      <c r="L340" s="215"/>
    </row>
    <row r="341" ht="15.75" customHeight="1">
      <c r="J341" s="215"/>
      <c r="K341" s="215"/>
      <c r="L341" s="215"/>
    </row>
    <row r="342" ht="15.75" customHeight="1">
      <c r="J342" s="215"/>
      <c r="K342" s="215"/>
      <c r="L342" s="215"/>
    </row>
    <row r="343" ht="15.75" customHeight="1">
      <c r="J343" s="215"/>
      <c r="K343" s="215"/>
      <c r="L343" s="215"/>
    </row>
    <row r="344" ht="15.75" customHeight="1">
      <c r="J344" s="215"/>
      <c r="K344" s="215"/>
      <c r="L344" s="215"/>
    </row>
    <row r="345" ht="15.75" customHeight="1">
      <c r="J345" s="215"/>
      <c r="K345" s="215"/>
      <c r="L345" s="215"/>
    </row>
    <row r="346" ht="15.75" customHeight="1">
      <c r="J346" s="215"/>
      <c r="K346" s="215"/>
      <c r="L346" s="215"/>
    </row>
    <row r="347" ht="15.75" customHeight="1">
      <c r="J347" s="215"/>
      <c r="K347" s="215"/>
      <c r="L347" s="215"/>
    </row>
    <row r="348" ht="15.75" customHeight="1">
      <c r="J348" s="215"/>
      <c r="K348" s="215"/>
      <c r="L348" s="215"/>
    </row>
    <row r="349" ht="15.75" customHeight="1">
      <c r="J349" s="215"/>
      <c r="K349" s="215"/>
      <c r="L349" s="215"/>
    </row>
    <row r="350" ht="15.75" customHeight="1">
      <c r="J350" s="215"/>
      <c r="K350" s="215"/>
      <c r="L350" s="215"/>
    </row>
    <row r="351" ht="15.75" customHeight="1">
      <c r="J351" s="215"/>
      <c r="K351" s="215"/>
      <c r="L351" s="215"/>
    </row>
    <row r="352" ht="15.75" customHeight="1">
      <c r="J352" s="215"/>
      <c r="K352" s="215"/>
      <c r="L352" s="215"/>
    </row>
    <row r="353" ht="15.75" customHeight="1">
      <c r="J353" s="215"/>
      <c r="K353" s="215"/>
      <c r="L353" s="215"/>
    </row>
    <row r="354" ht="15.75" customHeight="1">
      <c r="J354" s="215"/>
      <c r="K354" s="215"/>
      <c r="L354" s="215"/>
    </row>
    <row r="355" ht="15.75" customHeight="1">
      <c r="J355" s="215"/>
      <c r="K355" s="215"/>
      <c r="L355" s="215"/>
    </row>
    <row r="356" ht="15.75" customHeight="1">
      <c r="J356" s="215"/>
      <c r="K356" s="215"/>
      <c r="L356" s="215"/>
    </row>
    <row r="357" ht="15.75" customHeight="1">
      <c r="J357" s="215"/>
      <c r="K357" s="215"/>
      <c r="L357" s="215"/>
    </row>
    <row r="358" ht="15.75" customHeight="1">
      <c r="J358" s="215"/>
      <c r="K358" s="215"/>
      <c r="L358" s="215"/>
    </row>
    <row r="359" ht="15.75" customHeight="1">
      <c r="J359" s="215"/>
      <c r="K359" s="215"/>
      <c r="L359" s="215"/>
    </row>
    <row r="360" ht="15.75" customHeight="1">
      <c r="J360" s="215"/>
      <c r="K360" s="215"/>
      <c r="L360" s="215"/>
    </row>
    <row r="361" ht="15.75" customHeight="1">
      <c r="J361" s="215"/>
      <c r="K361" s="215"/>
      <c r="L361" s="215"/>
    </row>
    <row r="362" ht="15.75" customHeight="1">
      <c r="J362" s="215"/>
      <c r="K362" s="215"/>
      <c r="L362" s="215"/>
    </row>
    <row r="363" ht="15.75" customHeight="1">
      <c r="J363" s="215"/>
      <c r="K363" s="215"/>
      <c r="L363" s="215"/>
    </row>
    <row r="364" ht="15.75" customHeight="1">
      <c r="J364" s="215"/>
      <c r="K364" s="215"/>
      <c r="L364" s="215"/>
    </row>
    <row r="365" ht="15.75" customHeight="1">
      <c r="J365" s="215"/>
      <c r="K365" s="215"/>
      <c r="L365" s="215"/>
    </row>
    <row r="366" ht="15.75" customHeight="1">
      <c r="J366" s="215"/>
      <c r="K366" s="215"/>
      <c r="L366" s="215"/>
    </row>
    <row r="367" ht="15.75" customHeight="1">
      <c r="J367" s="215"/>
      <c r="K367" s="215"/>
      <c r="L367" s="215"/>
    </row>
    <row r="368" ht="15.75" customHeight="1">
      <c r="J368" s="215"/>
      <c r="K368" s="215"/>
      <c r="L368" s="215"/>
    </row>
    <row r="369" ht="15.75" customHeight="1">
      <c r="J369" s="215"/>
      <c r="K369" s="215"/>
      <c r="L369" s="215"/>
    </row>
    <row r="370" ht="15.75" customHeight="1">
      <c r="J370" s="215"/>
      <c r="K370" s="215"/>
      <c r="L370" s="215"/>
    </row>
    <row r="371" ht="15.75" customHeight="1">
      <c r="J371" s="215"/>
      <c r="K371" s="215"/>
      <c r="L371" s="215"/>
    </row>
    <row r="372" ht="15.75" customHeight="1">
      <c r="J372" s="215"/>
      <c r="K372" s="215"/>
      <c r="L372" s="215"/>
    </row>
    <row r="373" ht="15.75" customHeight="1">
      <c r="J373" s="215"/>
      <c r="K373" s="215"/>
      <c r="L373" s="215"/>
    </row>
    <row r="374" ht="15.75" customHeight="1">
      <c r="J374" s="215"/>
      <c r="K374" s="215"/>
      <c r="L374" s="215"/>
    </row>
    <row r="375" ht="15.75" customHeight="1">
      <c r="J375" s="215"/>
      <c r="K375" s="215"/>
      <c r="L375" s="215"/>
    </row>
    <row r="376" ht="15.75" customHeight="1">
      <c r="J376" s="215"/>
      <c r="K376" s="215"/>
      <c r="L376" s="215"/>
    </row>
    <row r="377" ht="15.75" customHeight="1">
      <c r="J377" s="215"/>
      <c r="K377" s="215"/>
      <c r="L377" s="215"/>
    </row>
    <row r="378" ht="15.75" customHeight="1">
      <c r="J378" s="215"/>
      <c r="K378" s="215"/>
      <c r="L378" s="215"/>
    </row>
    <row r="379" ht="15.75" customHeight="1">
      <c r="J379" s="215"/>
      <c r="K379" s="215"/>
      <c r="L379" s="215"/>
    </row>
    <row r="380" ht="15.75" customHeight="1">
      <c r="J380" s="215"/>
      <c r="K380" s="215"/>
      <c r="L380" s="215"/>
    </row>
    <row r="381" ht="15.75" customHeight="1">
      <c r="J381" s="215"/>
      <c r="K381" s="215"/>
      <c r="L381" s="215"/>
    </row>
    <row r="382" ht="15.75" customHeight="1">
      <c r="J382" s="215"/>
      <c r="K382" s="215"/>
      <c r="L382" s="215"/>
    </row>
    <row r="383" ht="15.75" customHeight="1">
      <c r="J383" s="215"/>
      <c r="K383" s="215"/>
      <c r="L383" s="215"/>
    </row>
    <row r="384" ht="15.75" customHeight="1">
      <c r="J384" s="215"/>
      <c r="K384" s="215"/>
      <c r="L384" s="215"/>
    </row>
    <row r="385" ht="15.75" customHeight="1">
      <c r="J385" s="215"/>
      <c r="K385" s="215"/>
      <c r="L385" s="215"/>
    </row>
    <row r="386" ht="15.75" customHeight="1">
      <c r="J386" s="215"/>
      <c r="K386" s="215"/>
      <c r="L386" s="215"/>
    </row>
    <row r="387" ht="15.75" customHeight="1">
      <c r="J387" s="215"/>
      <c r="K387" s="215"/>
      <c r="L387" s="215"/>
    </row>
    <row r="388" ht="15.75" customHeight="1">
      <c r="J388" s="215"/>
      <c r="K388" s="215"/>
      <c r="L388" s="215"/>
    </row>
    <row r="389" ht="15.75" customHeight="1">
      <c r="J389" s="215"/>
      <c r="K389" s="215"/>
      <c r="L389" s="215"/>
    </row>
    <row r="390" ht="15.75" customHeight="1">
      <c r="J390" s="215"/>
      <c r="K390" s="215"/>
      <c r="L390" s="215"/>
    </row>
    <row r="391" ht="15.75" customHeight="1">
      <c r="J391" s="215"/>
      <c r="K391" s="215"/>
      <c r="L391" s="215"/>
    </row>
    <row r="392" ht="15.75" customHeight="1">
      <c r="J392" s="215"/>
      <c r="K392" s="215"/>
      <c r="L392" s="215"/>
    </row>
    <row r="393" ht="15.75" customHeight="1">
      <c r="J393" s="215"/>
      <c r="K393" s="215"/>
      <c r="L393" s="215"/>
    </row>
    <row r="394" ht="15.75" customHeight="1">
      <c r="J394" s="215"/>
      <c r="K394" s="215"/>
      <c r="L394" s="215"/>
    </row>
    <row r="395" ht="15.75" customHeight="1">
      <c r="J395" s="215"/>
      <c r="K395" s="215"/>
      <c r="L395" s="215"/>
    </row>
    <row r="396" ht="15.75" customHeight="1">
      <c r="J396" s="215"/>
      <c r="K396" s="215"/>
      <c r="L396" s="215"/>
    </row>
    <row r="397" ht="15.75" customHeight="1">
      <c r="J397" s="215"/>
      <c r="K397" s="215"/>
      <c r="L397" s="215"/>
    </row>
    <row r="398" ht="15.75" customHeight="1">
      <c r="J398" s="215"/>
      <c r="K398" s="215"/>
      <c r="L398" s="215"/>
    </row>
    <row r="399" ht="15.75" customHeight="1">
      <c r="J399" s="215"/>
      <c r="K399" s="215"/>
      <c r="L399" s="215"/>
    </row>
    <row r="400" ht="15.75" customHeight="1">
      <c r="J400" s="215"/>
      <c r="K400" s="215"/>
      <c r="L400" s="215"/>
    </row>
    <row r="401" ht="15.75" customHeight="1">
      <c r="J401" s="215"/>
      <c r="K401" s="215"/>
      <c r="L401" s="215"/>
    </row>
    <row r="402" ht="15.75" customHeight="1">
      <c r="J402" s="215"/>
      <c r="K402" s="215"/>
      <c r="L402" s="215"/>
    </row>
    <row r="403" ht="15.75" customHeight="1">
      <c r="J403" s="215"/>
      <c r="K403" s="215"/>
      <c r="L403" s="215"/>
    </row>
    <row r="404" ht="15.75" customHeight="1">
      <c r="J404" s="215"/>
      <c r="K404" s="215"/>
      <c r="L404" s="215"/>
    </row>
    <row r="405" ht="15.75" customHeight="1">
      <c r="J405" s="215"/>
      <c r="K405" s="215"/>
      <c r="L405" s="215"/>
    </row>
    <row r="406" ht="15.75" customHeight="1">
      <c r="J406" s="215"/>
      <c r="K406" s="215"/>
      <c r="L406" s="215"/>
    </row>
    <row r="407" ht="15.75" customHeight="1">
      <c r="J407" s="215"/>
      <c r="K407" s="215"/>
      <c r="L407" s="215"/>
    </row>
    <row r="408" ht="15.75" customHeight="1">
      <c r="J408" s="215"/>
      <c r="K408" s="215"/>
      <c r="L408" s="215"/>
    </row>
    <row r="409" ht="15.75" customHeight="1">
      <c r="J409" s="215"/>
      <c r="K409" s="215"/>
      <c r="L409" s="215"/>
    </row>
    <row r="410" ht="15.75" customHeight="1">
      <c r="J410" s="215"/>
      <c r="K410" s="215"/>
      <c r="L410" s="215"/>
    </row>
    <row r="411" ht="15.75" customHeight="1">
      <c r="J411" s="215"/>
      <c r="K411" s="215"/>
      <c r="L411" s="215"/>
    </row>
    <row r="412" ht="15.75" customHeight="1">
      <c r="J412" s="215"/>
      <c r="K412" s="215"/>
      <c r="L412" s="215"/>
    </row>
    <row r="413" ht="15.75" customHeight="1">
      <c r="J413" s="215"/>
      <c r="K413" s="215"/>
      <c r="L413" s="215"/>
    </row>
    <row r="414" ht="15.75" customHeight="1">
      <c r="J414" s="215"/>
      <c r="K414" s="215"/>
      <c r="L414" s="215"/>
    </row>
    <row r="415" ht="15.75" customHeight="1">
      <c r="J415" s="215"/>
      <c r="K415" s="215"/>
      <c r="L415" s="215"/>
    </row>
    <row r="416" ht="15.75" customHeight="1">
      <c r="J416" s="215"/>
      <c r="K416" s="215"/>
      <c r="L416" s="215"/>
    </row>
    <row r="417" ht="15.75" customHeight="1">
      <c r="J417" s="215"/>
      <c r="K417" s="215"/>
      <c r="L417" s="215"/>
    </row>
    <row r="418" ht="15.75" customHeight="1">
      <c r="J418" s="215"/>
      <c r="K418" s="215"/>
      <c r="L418" s="215"/>
    </row>
    <row r="419" ht="15.75" customHeight="1">
      <c r="J419" s="215"/>
      <c r="K419" s="215"/>
      <c r="L419" s="215"/>
    </row>
    <row r="420" ht="15.75" customHeight="1">
      <c r="J420" s="215"/>
      <c r="K420" s="215"/>
      <c r="L420" s="215"/>
    </row>
    <row r="421" ht="15.75" customHeight="1">
      <c r="J421" s="215"/>
      <c r="K421" s="215"/>
      <c r="L421" s="215"/>
    </row>
    <row r="422" ht="15.75" customHeight="1">
      <c r="J422" s="215"/>
      <c r="K422" s="215"/>
      <c r="L422" s="215"/>
    </row>
    <row r="423" ht="15.75" customHeight="1">
      <c r="J423" s="215"/>
      <c r="K423" s="215"/>
      <c r="L423" s="215"/>
    </row>
    <row r="424" ht="15.75" customHeight="1">
      <c r="J424" s="215"/>
      <c r="K424" s="215"/>
      <c r="L424" s="215"/>
    </row>
    <row r="425" ht="15.75" customHeight="1">
      <c r="J425" s="215"/>
      <c r="K425" s="215"/>
      <c r="L425" s="215"/>
    </row>
    <row r="426" ht="15.75" customHeight="1">
      <c r="J426" s="215"/>
      <c r="K426" s="215"/>
      <c r="L426" s="215"/>
    </row>
    <row r="427" ht="15.75" customHeight="1">
      <c r="J427" s="215"/>
      <c r="K427" s="215"/>
      <c r="L427" s="215"/>
    </row>
    <row r="428" ht="15.75" customHeight="1">
      <c r="J428" s="215"/>
      <c r="K428" s="215"/>
      <c r="L428" s="215"/>
    </row>
    <row r="429" ht="15.75" customHeight="1">
      <c r="J429" s="215"/>
      <c r="K429" s="215"/>
      <c r="L429" s="215"/>
    </row>
    <row r="430" ht="15.75" customHeight="1">
      <c r="J430" s="215"/>
      <c r="K430" s="215"/>
      <c r="L430" s="215"/>
    </row>
    <row r="431" ht="15.75" customHeight="1">
      <c r="J431" s="215"/>
      <c r="K431" s="215"/>
      <c r="L431" s="215"/>
    </row>
    <row r="432" ht="15.75" customHeight="1">
      <c r="J432" s="215"/>
      <c r="K432" s="215"/>
      <c r="L432" s="215"/>
    </row>
    <row r="433" ht="15.75" customHeight="1">
      <c r="J433" s="215"/>
      <c r="K433" s="215"/>
      <c r="L433" s="215"/>
    </row>
    <row r="434" ht="15.75" customHeight="1">
      <c r="J434" s="215"/>
      <c r="K434" s="215"/>
      <c r="L434" s="215"/>
    </row>
    <row r="435" ht="15.75" customHeight="1">
      <c r="J435" s="215"/>
      <c r="K435" s="215"/>
      <c r="L435" s="215"/>
    </row>
    <row r="436" ht="15.75" customHeight="1">
      <c r="J436" s="215"/>
      <c r="K436" s="215"/>
      <c r="L436" s="215"/>
    </row>
    <row r="437" ht="15.75" customHeight="1">
      <c r="J437" s="215"/>
      <c r="K437" s="215"/>
      <c r="L437" s="215"/>
    </row>
    <row r="438" ht="15.75" customHeight="1">
      <c r="J438" s="215"/>
      <c r="K438" s="215"/>
      <c r="L438" s="215"/>
    </row>
    <row r="439" ht="15.75" customHeight="1">
      <c r="J439" s="215"/>
      <c r="K439" s="215"/>
      <c r="L439" s="215"/>
    </row>
    <row r="440" ht="15.75" customHeight="1">
      <c r="J440" s="215"/>
      <c r="K440" s="215"/>
      <c r="L440" s="215"/>
    </row>
    <row r="441" ht="15.75" customHeight="1">
      <c r="J441" s="215"/>
      <c r="K441" s="215"/>
      <c r="L441" s="215"/>
    </row>
    <row r="442" ht="15.75" customHeight="1">
      <c r="J442" s="215"/>
      <c r="K442" s="215"/>
      <c r="L442" s="215"/>
    </row>
    <row r="443" ht="15.75" customHeight="1">
      <c r="J443" s="215"/>
      <c r="K443" s="215"/>
      <c r="L443" s="215"/>
    </row>
    <row r="444" ht="15.75" customHeight="1">
      <c r="J444" s="215"/>
      <c r="K444" s="215"/>
      <c r="L444" s="215"/>
    </row>
    <row r="445" ht="15.75" customHeight="1">
      <c r="J445" s="215"/>
      <c r="K445" s="215"/>
      <c r="L445" s="215"/>
    </row>
    <row r="446" ht="15.75" customHeight="1">
      <c r="J446" s="215"/>
      <c r="K446" s="215"/>
      <c r="L446" s="215"/>
    </row>
    <row r="447" ht="15.75" customHeight="1">
      <c r="J447" s="215"/>
      <c r="K447" s="215"/>
      <c r="L447" s="215"/>
    </row>
    <row r="448" ht="15.75" customHeight="1">
      <c r="J448" s="215"/>
      <c r="K448" s="215"/>
      <c r="L448" s="215"/>
    </row>
    <row r="449" ht="15.75" customHeight="1">
      <c r="J449" s="215"/>
      <c r="K449" s="215"/>
      <c r="L449" s="215"/>
    </row>
    <row r="450" ht="15.75" customHeight="1">
      <c r="J450" s="215"/>
      <c r="K450" s="215"/>
      <c r="L450" s="215"/>
    </row>
    <row r="451" ht="15.75" customHeight="1">
      <c r="J451" s="215"/>
      <c r="K451" s="215"/>
      <c r="L451" s="215"/>
    </row>
    <row r="452" ht="15.75" customHeight="1">
      <c r="J452" s="215"/>
      <c r="K452" s="215"/>
      <c r="L452" s="215"/>
    </row>
    <row r="453" ht="15.75" customHeight="1">
      <c r="J453" s="215"/>
      <c r="K453" s="215"/>
      <c r="L453" s="215"/>
    </row>
    <row r="454" ht="15.75" customHeight="1">
      <c r="J454" s="215"/>
      <c r="K454" s="215"/>
      <c r="L454" s="215"/>
    </row>
    <row r="455" ht="15.75" customHeight="1">
      <c r="J455" s="215"/>
      <c r="K455" s="215"/>
      <c r="L455" s="215"/>
    </row>
    <row r="456" ht="15.75" customHeight="1">
      <c r="J456" s="215"/>
      <c r="K456" s="215"/>
      <c r="L456" s="215"/>
    </row>
    <row r="457" ht="15.75" customHeight="1">
      <c r="J457" s="215"/>
      <c r="K457" s="215"/>
      <c r="L457" s="215"/>
    </row>
    <row r="458" ht="15.75" customHeight="1">
      <c r="J458" s="215"/>
      <c r="K458" s="215"/>
      <c r="L458" s="215"/>
    </row>
    <row r="459" ht="15.75" customHeight="1">
      <c r="J459" s="215"/>
      <c r="K459" s="215"/>
      <c r="L459" s="215"/>
    </row>
    <row r="460" ht="15.75" customHeight="1">
      <c r="J460" s="215"/>
      <c r="K460" s="215"/>
      <c r="L460" s="215"/>
    </row>
    <row r="461" ht="15.75" customHeight="1">
      <c r="J461" s="215"/>
      <c r="K461" s="215"/>
      <c r="L461" s="215"/>
    </row>
    <row r="462" ht="15.75" customHeight="1">
      <c r="J462" s="215"/>
      <c r="K462" s="215"/>
      <c r="L462" s="215"/>
    </row>
    <row r="463" ht="15.75" customHeight="1">
      <c r="J463" s="215"/>
      <c r="K463" s="215"/>
      <c r="L463" s="215"/>
    </row>
    <row r="464" ht="15.75" customHeight="1">
      <c r="J464" s="215"/>
      <c r="K464" s="215"/>
      <c r="L464" s="215"/>
    </row>
    <row r="465" ht="15.75" customHeight="1">
      <c r="J465" s="215"/>
      <c r="K465" s="215"/>
      <c r="L465" s="215"/>
    </row>
    <row r="466" ht="15.75" customHeight="1">
      <c r="J466" s="215"/>
      <c r="K466" s="215"/>
      <c r="L466" s="215"/>
    </row>
    <row r="467" ht="15.75" customHeight="1">
      <c r="J467" s="215"/>
      <c r="K467" s="215"/>
      <c r="L467" s="215"/>
    </row>
    <row r="468" ht="15.75" customHeight="1">
      <c r="J468" s="215"/>
      <c r="K468" s="215"/>
      <c r="L468" s="215"/>
    </row>
    <row r="469" ht="15.75" customHeight="1">
      <c r="J469" s="215"/>
      <c r="K469" s="215"/>
      <c r="L469" s="215"/>
    </row>
    <row r="470" ht="15.75" customHeight="1">
      <c r="J470" s="215"/>
      <c r="K470" s="215"/>
      <c r="L470" s="215"/>
    </row>
    <row r="471" ht="15.75" customHeight="1">
      <c r="J471" s="215"/>
      <c r="K471" s="215"/>
      <c r="L471" s="215"/>
    </row>
    <row r="472" ht="15.75" customHeight="1">
      <c r="J472" s="215"/>
      <c r="K472" s="215"/>
      <c r="L472" s="215"/>
    </row>
    <row r="473" ht="15.75" customHeight="1">
      <c r="J473" s="215"/>
      <c r="K473" s="215"/>
      <c r="L473" s="215"/>
    </row>
    <row r="474" ht="15.75" customHeight="1">
      <c r="J474" s="215"/>
      <c r="K474" s="215"/>
      <c r="L474" s="215"/>
    </row>
    <row r="475" ht="15.75" customHeight="1">
      <c r="J475" s="215"/>
      <c r="K475" s="215"/>
      <c r="L475" s="215"/>
    </row>
    <row r="476" ht="15.75" customHeight="1">
      <c r="J476" s="215"/>
      <c r="K476" s="215"/>
      <c r="L476" s="215"/>
    </row>
    <row r="477" ht="15.75" customHeight="1">
      <c r="J477" s="215"/>
      <c r="K477" s="215"/>
      <c r="L477" s="215"/>
    </row>
    <row r="478" ht="15.75" customHeight="1">
      <c r="J478" s="215"/>
      <c r="K478" s="215"/>
      <c r="L478" s="215"/>
    </row>
    <row r="479" ht="15.75" customHeight="1">
      <c r="J479" s="215"/>
      <c r="K479" s="215"/>
      <c r="L479" s="215"/>
    </row>
    <row r="480" ht="15.75" customHeight="1">
      <c r="J480" s="215"/>
      <c r="K480" s="215"/>
      <c r="L480" s="215"/>
    </row>
    <row r="481" ht="15.75" customHeight="1">
      <c r="J481" s="215"/>
      <c r="K481" s="215"/>
      <c r="L481" s="215"/>
    </row>
    <row r="482" ht="15.75" customHeight="1">
      <c r="J482" s="215"/>
      <c r="K482" s="215"/>
      <c r="L482" s="215"/>
    </row>
    <row r="483" ht="15.75" customHeight="1">
      <c r="J483" s="215"/>
      <c r="K483" s="215"/>
      <c r="L483" s="215"/>
    </row>
    <row r="484" ht="15.75" customHeight="1">
      <c r="J484" s="215"/>
      <c r="K484" s="215"/>
      <c r="L484" s="215"/>
    </row>
    <row r="485" ht="15.75" customHeight="1">
      <c r="J485" s="215"/>
      <c r="K485" s="215"/>
      <c r="L485" s="215"/>
    </row>
    <row r="486" ht="15.75" customHeight="1">
      <c r="J486" s="215"/>
      <c r="K486" s="215"/>
      <c r="L486" s="215"/>
    </row>
    <row r="487" ht="15.75" customHeight="1">
      <c r="J487" s="215"/>
      <c r="K487" s="215"/>
      <c r="L487" s="215"/>
    </row>
    <row r="488" ht="15.75" customHeight="1">
      <c r="J488" s="215"/>
      <c r="K488" s="215"/>
      <c r="L488" s="215"/>
    </row>
    <row r="489" ht="15.75" customHeight="1">
      <c r="J489" s="215"/>
      <c r="K489" s="215"/>
      <c r="L489" s="215"/>
    </row>
    <row r="490" ht="15.75" customHeight="1">
      <c r="J490" s="215"/>
      <c r="K490" s="215"/>
      <c r="L490" s="215"/>
    </row>
    <row r="491" ht="15.75" customHeight="1">
      <c r="J491" s="215"/>
      <c r="K491" s="215"/>
      <c r="L491" s="215"/>
    </row>
    <row r="492" ht="15.75" customHeight="1">
      <c r="J492" s="215"/>
      <c r="K492" s="215"/>
      <c r="L492" s="215"/>
    </row>
    <row r="493" ht="15.75" customHeight="1">
      <c r="J493" s="215"/>
      <c r="K493" s="215"/>
      <c r="L493" s="215"/>
    </row>
    <row r="494" ht="15.75" customHeight="1">
      <c r="J494" s="215"/>
      <c r="K494" s="215"/>
      <c r="L494" s="215"/>
    </row>
    <row r="495" ht="15.75" customHeight="1">
      <c r="J495" s="215"/>
      <c r="K495" s="215"/>
      <c r="L495" s="215"/>
    </row>
    <row r="496" ht="15.75" customHeight="1">
      <c r="J496" s="215"/>
      <c r="K496" s="215"/>
      <c r="L496" s="215"/>
    </row>
    <row r="497" ht="15.75" customHeight="1">
      <c r="J497" s="215"/>
      <c r="K497" s="215"/>
      <c r="L497" s="215"/>
    </row>
    <row r="498" ht="15.75" customHeight="1">
      <c r="J498" s="215"/>
      <c r="K498" s="215"/>
      <c r="L498" s="215"/>
    </row>
    <row r="499" ht="15.75" customHeight="1">
      <c r="J499" s="215"/>
      <c r="K499" s="215"/>
      <c r="L499" s="215"/>
    </row>
    <row r="500" ht="15.75" customHeight="1">
      <c r="J500" s="215"/>
      <c r="K500" s="215"/>
      <c r="L500" s="215"/>
    </row>
    <row r="501" ht="15.75" customHeight="1">
      <c r="J501" s="215"/>
      <c r="K501" s="215"/>
      <c r="L501" s="215"/>
    </row>
    <row r="502" ht="15.75" customHeight="1">
      <c r="J502" s="215"/>
      <c r="K502" s="215"/>
      <c r="L502" s="215"/>
    </row>
    <row r="503" ht="15.75" customHeight="1">
      <c r="J503" s="215"/>
      <c r="K503" s="215"/>
      <c r="L503" s="215"/>
    </row>
    <row r="504" ht="15.75" customHeight="1">
      <c r="J504" s="215"/>
      <c r="K504" s="215"/>
      <c r="L504" s="215"/>
    </row>
    <row r="505" ht="15.75" customHeight="1">
      <c r="J505" s="215"/>
      <c r="K505" s="215"/>
      <c r="L505" s="215"/>
    </row>
    <row r="506" ht="15.75" customHeight="1">
      <c r="J506" s="215"/>
      <c r="K506" s="215"/>
      <c r="L506" s="215"/>
    </row>
    <row r="507" ht="15.75" customHeight="1">
      <c r="J507" s="215"/>
      <c r="K507" s="215"/>
      <c r="L507" s="215"/>
    </row>
    <row r="508" ht="15.75" customHeight="1">
      <c r="J508" s="215"/>
      <c r="K508" s="215"/>
      <c r="L508" s="215"/>
    </row>
    <row r="509" ht="15.75" customHeight="1">
      <c r="J509" s="215"/>
      <c r="K509" s="215"/>
      <c r="L509" s="215"/>
    </row>
    <row r="510" ht="15.75" customHeight="1">
      <c r="J510" s="215"/>
      <c r="K510" s="215"/>
      <c r="L510" s="215"/>
    </row>
    <row r="511" ht="15.75" customHeight="1">
      <c r="J511" s="215"/>
      <c r="K511" s="215"/>
      <c r="L511" s="215"/>
    </row>
    <row r="512" ht="15.75" customHeight="1">
      <c r="J512" s="215"/>
      <c r="K512" s="215"/>
      <c r="L512" s="215"/>
    </row>
    <row r="513" ht="15.75" customHeight="1">
      <c r="J513" s="215"/>
      <c r="K513" s="215"/>
      <c r="L513" s="215"/>
    </row>
    <row r="514" ht="15.75" customHeight="1">
      <c r="J514" s="215"/>
      <c r="K514" s="215"/>
      <c r="L514" s="215"/>
    </row>
    <row r="515" ht="15.75" customHeight="1">
      <c r="J515" s="215"/>
      <c r="K515" s="215"/>
      <c r="L515" s="215"/>
    </row>
    <row r="516" ht="15.75" customHeight="1">
      <c r="J516" s="215"/>
      <c r="K516" s="215"/>
      <c r="L516" s="215"/>
    </row>
    <row r="517" ht="15.75" customHeight="1">
      <c r="J517" s="215"/>
      <c r="K517" s="215"/>
      <c r="L517" s="215"/>
    </row>
    <row r="518" ht="15.75" customHeight="1">
      <c r="J518" s="215"/>
      <c r="K518" s="215"/>
      <c r="L518" s="215"/>
    </row>
    <row r="519" ht="15.75" customHeight="1">
      <c r="J519" s="215"/>
      <c r="K519" s="215"/>
      <c r="L519" s="215"/>
    </row>
    <row r="520" ht="15.75" customHeight="1">
      <c r="J520" s="215"/>
      <c r="K520" s="215"/>
      <c r="L520" s="215"/>
    </row>
    <row r="521" ht="15.75" customHeight="1">
      <c r="J521" s="215"/>
      <c r="K521" s="215"/>
      <c r="L521" s="215"/>
    </row>
    <row r="522" ht="15.75" customHeight="1">
      <c r="J522" s="215"/>
      <c r="K522" s="215"/>
      <c r="L522" s="215"/>
    </row>
    <row r="523" ht="15.75" customHeight="1">
      <c r="J523" s="215"/>
      <c r="K523" s="215"/>
      <c r="L523" s="215"/>
    </row>
    <row r="524" ht="15.75" customHeight="1">
      <c r="J524" s="215"/>
      <c r="K524" s="215"/>
      <c r="L524" s="215"/>
    </row>
    <row r="525" ht="15.75" customHeight="1">
      <c r="J525" s="215"/>
      <c r="K525" s="215"/>
      <c r="L525" s="215"/>
    </row>
    <row r="526" ht="15.75" customHeight="1">
      <c r="J526" s="215"/>
      <c r="K526" s="215"/>
      <c r="L526" s="215"/>
    </row>
    <row r="527" ht="15.75" customHeight="1">
      <c r="J527" s="215"/>
      <c r="K527" s="215"/>
      <c r="L527" s="215"/>
    </row>
    <row r="528" ht="15.75" customHeight="1">
      <c r="J528" s="215"/>
      <c r="K528" s="215"/>
      <c r="L528" s="215"/>
    </row>
    <row r="529" ht="15.75" customHeight="1">
      <c r="J529" s="215"/>
      <c r="K529" s="215"/>
      <c r="L529" s="215"/>
    </row>
    <row r="530" ht="15.75" customHeight="1">
      <c r="J530" s="215"/>
      <c r="K530" s="215"/>
      <c r="L530" s="215"/>
    </row>
    <row r="531" ht="15.75" customHeight="1">
      <c r="J531" s="215"/>
      <c r="K531" s="215"/>
      <c r="L531" s="215"/>
    </row>
    <row r="532" ht="15.75" customHeight="1">
      <c r="J532" s="215"/>
      <c r="K532" s="215"/>
      <c r="L532" s="215"/>
    </row>
    <row r="533" ht="15.75" customHeight="1">
      <c r="J533" s="215"/>
      <c r="K533" s="215"/>
      <c r="L533" s="215"/>
    </row>
    <row r="534" ht="15.75" customHeight="1">
      <c r="J534" s="215"/>
      <c r="K534" s="215"/>
      <c r="L534" s="215"/>
    </row>
    <row r="535" ht="15.75" customHeight="1">
      <c r="J535" s="215"/>
      <c r="K535" s="215"/>
      <c r="L535" s="215"/>
    </row>
    <row r="536" ht="15.75" customHeight="1">
      <c r="J536" s="215"/>
      <c r="K536" s="215"/>
      <c r="L536" s="215"/>
    </row>
    <row r="537" ht="15.75" customHeight="1">
      <c r="J537" s="215"/>
      <c r="K537" s="215"/>
      <c r="L537" s="215"/>
    </row>
    <row r="538" ht="15.75" customHeight="1">
      <c r="J538" s="215"/>
      <c r="K538" s="215"/>
      <c r="L538" s="215"/>
    </row>
    <row r="539" ht="15.75" customHeight="1">
      <c r="J539" s="215"/>
      <c r="K539" s="215"/>
      <c r="L539" s="215"/>
    </row>
    <row r="540" ht="15.75" customHeight="1">
      <c r="J540" s="215"/>
      <c r="K540" s="215"/>
      <c r="L540" s="215"/>
    </row>
    <row r="541" ht="15.75" customHeight="1">
      <c r="J541" s="215"/>
      <c r="K541" s="215"/>
      <c r="L541" s="215"/>
    </row>
    <row r="542" ht="15.75" customHeight="1">
      <c r="J542" s="215"/>
      <c r="K542" s="215"/>
      <c r="L542" s="215"/>
    </row>
    <row r="543" ht="15.75" customHeight="1">
      <c r="J543" s="215"/>
      <c r="K543" s="215"/>
      <c r="L543" s="215"/>
    </row>
    <row r="544" ht="15.75" customHeight="1">
      <c r="J544" s="215"/>
      <c r="K544" s="215"/>
      <c r="L544" s="215"/>
    </row>
    <row r="545" ht="15.75" customHeight="1">
      <c r="J545" s="215"/>
      <c r="K545" s="215"/>
      <c r="L545" s="215"/>
    </row>
    <row r="546" ht="15.75" customHeight="1">
      <c r="J546" s="215"/>
      <c r="K546" s="215"/>
      <c r="L546" s="215"/>
    </row>
    <row r="547" ht="15.75" customHeight="1">
      <c r="J547" s="215"/>
      <c r="K547" s="215"/>
      <c r="L547" s="215"/>
    </row>
    <row r="548" ht="15.75" customHeight="1">
      <c r="J548" s="215"/>
      <c r="K548" s="215"/>
      <c r="L548" s="215"/>
    </row>
    <row r="549" ht="15.75" customHeight="1">
      <c r="J549" s="215"/>
      <c r="K549" s="215"/>
      <c r="L549" s="215"/>
    </row>
    <row r="550" ht="15.75" customHeight="1">
      <c r="J550" s="215"/>
      <c r="K550" s="215"/>
      <c r="L550" s="215"/>
    </row>
    <row r="551" ht="15.75" customHeight="1">
      <c r="J551" s="215"/>
      <c r="K551" s="215"/>
      <c r="L551" s="215"/>
    </row>
    <row r="552" ht="15.75" customHeight="1">
      <c r="J552" s="215"/>
      <c r="K552" s="215"/>
      <c r="L552" s="215"/>
    </row>
    <row r="553" ht="15.75" customHeight="1">
      <c r="J553" s="215"/>
      <c r="K553" s="215"/>
      <c r="L553" s="215"/>
    </row>
    <row r="554" ht="15.75" customHeight="1">
      <c r="J554" s="215"/>
      <c r="K554" s="215"/>
      <c r="L554" s="215"/>
    </row>
    <row r="555" ht="15.75" customHeight="1">
      <c r="J555" s="215"/>
      <c r="K555" s="215"/>
      <c r="L555" s="215"/>
    </row>
    <row r="556" ht="15.75" customHeight="1">
      <c r="J556" s="215"/>
      <c r="K556" s="215"/>
      <c r="L556" s="215"/>
    </row>
    <row r="557" ht="15.75" customHeight="1">
      <c r="J557" s="215"/>
      <c r="K557" s="215"/>
      <c r="L557" s="215"/>
    </row>
    <row r="558" ht="15.75" customHeight="1">
      <c r="J558" s="215"/>
      <c r="K558" s="215"/>
      <c r="L558" s="215"/>
    </row>
    <row r="559" ht="15.75" customHeight="1">
      <c r="J559" s="215"/>
      <c r="K559" s="215"/>
      <c r="L559" s="215"/>
    </row>
    <row r="560" ht="15.75" customHeight="1">
      <c r="J560" s="215"/>
      <c r="K560" s="215"/>
      <c r="L560" s="215"/>
    </row>
    <row r="561" ht="15.75" customHeight="1">
      <c r="J561" s="215"/>
      <c r="K561" s="215"/>
      <c r="L561" s="215"/>
    </row>
    <row r="562" ht="15.75" customHeight="1">
      <c r="J562" s="215"/>
      <c r="K562" s="215"/>
      <c r="L562" s="215"/>
    </row>
    <row r="563" ht="15.75" customHeight="1">
      <c r="J563" s="215"/>
      <c r="K563" s="215"/>
      <c r="L563" s="215"/>
    </row>
    <row r="564" ht="15.75" customHeight="1">
      <c r="J564" s="215"/>
      <c r="K564" s="215"/>
      <c r="L564" s="215"/>
    </row>
    <row r="565" ht="15.75" customHeight="1">
      <c r="J565" s="215"/>
      <c r="K565" s="215"/>
      <c r="L565" s="215"/>
    </row>
    <row r="566" ht="15.75" customHeight="1">
      <c r="J566" s="215"/>
      <c r="K566" s="215"/>
      <c r="L566" s="215"/>
    </row>
    <row r="567" ht="15.75" customHeight="1">
      <c r="J567" s="215"/>
      <c r="K567" s="215"/>
      <c r="L567" s="215"/>
    </row>
    <row r="568" ht="15.75" customHeight="1">
      <c r="J568" s="215"/>
      <c r="K568" s="215"/>
      <c r="L568" s="215"/>
    </row>
    <row r="569" ht="15.75" customHeight="1">
      <c r="J569" s="215"/>
      <c r="K569" s="215"/>
      <c r="L569" s="215"/>
    </row>
    <row r="570" ht="15.75" customHeight="1">
      <c r="J570" s="215"/>
      <c r="K570" s="215"/>
      <c r="L570" s="215"/>
    </row>
    <row r="571" ht="15.75" customHeight="1">
      <c r="J571" s="215"/>
      <c r="K571" s="215"/>
      <c r="L571" s="215"/>
    </row>
    <row r="572" ht="15.75" customHeight="1">
      <c r="J572" s="215"/>
      <c r="K572" s="215"/>
      <c r="L572" s="215"/>
    </row>
    <row r="573" ht="15.75" customHeight="1">
      <c r="J573" s="215"/>
      <c r="K573" s="215"/>
      <c r="L573" s="215"/>
    </row>
    <row r="574" ht="15.75" customHeight="1">
      <c r="J574" s="215"/>
      <c r="K574" s="215"/>
      <c r="L574" s="215"/>
    </row>
    <row r="575" ht="15.75" customHeight="1">
      <c r="J575" s="215"/>
      <c r="K575" s="215"/>
      <c r="L575" s="215"/>
    </row>
    <row r="576" ht="15.75" customHeight="1">
      <c r="J576" s="215"/>
      <c r="K576" s="215"/>
      <c r="L576" s="215"/>
    </row>
    <row r="577" ht="15.75" customHeight="1">
      <c r="J577" s="215"/>
      <c r="K577" s="215"/>
      <c r="L577" s="215"/>
    </row>
    <row r="578" ht="15.75" customHeight="1">
      <c r="J578" s="215"/>
      <c r="K578" s="215"/>
      <c r="L578" s="215"/>
    </row>
    <row r="579" ht="15.75" customHeight="1">
      <c r="J579" s="215"/>
      <c r="K579" s="215"/>
      <c r="L579" s="215"/>
    </row>
    <row r="580" ht="15.75" customHeight="1">
      <c r="J580" s="215"/>
      <c r="K580" s="215"/>
      <c r="L580" s="215"/>
    </row>
    <row r="581" ht="15.75" customHeight="1">
      <c r="J581" s="215"/>
      <c r="K581" s="215"/>
      <c r="L581" s="215"/>
    </row>
    <row r="582" ht="15.75" customHeight="1">
      <c r="J582" s="215"/>
      <c r="K582" s="215"/>
      <c r="L582" s="215"/>
    </row>
    <row r="583" ht="15.75" customHeight="1">
      <c r="J583" s="215"/>
      <c r="K583" s="215"/>
      <c r="L583" s="215"/>
    </row>
    <row r="584" ht="15.75" customHeight="1">
      <c r="J584" s="215"/>
      <c r="K584" s="215"/>
      <c r="L584" s="215"/>
    </row>
    <row r="585" ht="15.75" customHeight="1">
      <c r="J585" s="215"/>
      <c r="K585" s="215"/>
      <c r="L585" s="215"/>
    </row>
    <row r="586" ht="15.75" customHeight="1">
      <c r="J586" s="215"/>
      <c r="K586" s="215"/>
      <c r="L586" s="215"/>
    </row>
    <row r="587" ht="15.75" customHeight="1">
      <c r="J587" s="215"/>
      <c r="K587" s="215"/>
      <c r="L587" s="215"/>
    </row>
    <row r="588" ht="15.75" customHeight="1">
      <c r="J588" s="215"/>
      <c r="K588" s="215"/>
      <c r="L588" s="215"/>
    </row>
    <row r="589" ht="15.75" customHeight="1">
      <c r="J589" s="215"/>
      <c r="K589" s="215"/>
      <c r="L589" s="215"/>
    </row>
    <row r="590" ht="15.75" customHeight="1">
      <c r="J590" s="215"/>
      <c r="K590" s="215"/>
      <c r="L590" s="215"/>
    </row>
    <row r="591" ht="15.75" customHeight="1">
      <c r="J591" s="215"/>
      <c r="K591" s="215"/>
      <c r="L591" s="215"/>
    </row>
    <row r="592" ht="15.75" customHeight="1">
      <c r="J592" s="215"/>
      <c r="K592" s="215"/>
      <c r="L592" s="215"/>
    </row>
    <row r="593" ht="15.75" customHeight="1">
      <c r="J593" s="215"/>
      <c r="K593" s="215"/>
      <c r="L593" s="215"/>
    </row>
    <row r="594" ht="15.75" customHeight="1">
      <c r="J594" s="215"/>
      <c r="K594" s="215"/>
      <c r="L594" s="215"/>
    </row>
    <row r="595" ht="15.75" customHeight="1">
      <c r="J595" s="215"/>
      <c r="K595" s="215"/>
      <c r="L595" s="215"/>
    </row>
    <row r="596" ht="15.75" customHeight="1">
      <c r="J596" s="215"/>
      <c r="K596" s="215"/>
      <c r="L596" s="215"/>
    </row>
    <row r="597" ht="15.75" customHeight="1">
      <c r="J597" s="215"/>
      <c r="K597" s="215"/>
      <c r="L597" s="215"/>
    </row>
    <row r="598" ht="15.75" customHeight="1">
      <c r="J598" s="215"/>
      <c r="K598" s="215"/>
      <c r="L598" s="215"/>
    </row>
    <row r="599" ht="15.75" customHeight="1">
      <c r="J599" s="215"/>
      <c r="K599" s="215"/>
      <c r="L599" s="215"/>
    </row>
    <row r="600" ht="15.75" customHeight="1">
      <c r="J600" s="215"/>
      <c r="K600" s="215"/>
      <c r="L600" s="215"/>
    </row>
    <row r="601" ht="15.75" customHeight="1">
      <c r="J601" s="215"/>
      <c r="K601" s="215"/>
      <c r="L601" s="215"/>
    </row>
    <row r="602" ht="15.75" customHeight="1">
      <c r="J602" s="215"/>
      <c r="K602" s="215"/>
      <c r="L602" s="215"/>
    </row>
    <row r="603" ht="15.75" customHeight="1">
      <c r="J603" s="215"/>
      <c r="K603" s="215"/>
      <c r="L603" s="215"/>
    </row>
    <row r="604" ht="15.75" customHeight="1">
      <c r="J604" s="215"/>
      <c r="K604" s="215"/>
      <c r="L604" s="215"/>
    </row>
    <row r="605" ht="15.75" customHeight="1">
      <c r="J605" s="215"/>
      <c r="K605" s="215"/>
      <c r="L605" s="215"/>
    </row>
    <row r="606" ht="15.75" customHeight="1">
      <c r="J606" s="215"/>
      <c r="K606" s="215"/>
      <c r="L606" s="215"/>
    </row>
    <row r="607" ht="15.75" customHeight="1">
      <c r="J607" s="215"/>
      <c r="K607" s="215"/>
      <c r="L607" s="215"/>
    </row>
    <row r="608" ht="15.75" customHeight="1">
      <c r="J608" s="215"/>
      <c r="K608" s="215"/>
      <c r="L608" s="215"/>
    </row>
    <row r="609" ht="15.75" customHeight="1">
      <c r="J609" s="215"/>
      <c r="K609" s="215"/>
      <c r="L609" s="215"/>
    </row>
    <row r="610" ht="15.75" customHeight="1">
      <c r="J610" s="215"/>
      <c r="K610" s="215"/>
      <c r="L610" s="215"/>
    </row>
    <row r="611" ht="15.75" customHeight="1">
      <c r="J611" s="215"/>
      <c r="K611" s="215"/>
      <c r="L611" s="215"/>
    </row>
    <row r="612" ht="15.75" customHeight="1">
      <c r="J612" s="215"/>
      <c r="K612" s="215"/>
      <c r="L612" s="215"/>
    </row>
    <row r="613" ht="15.75" customHeight="1">
      <c r="J613" s="215"/>
      <c r="K613" s="215"/>
      <c r="L613" s="215"/>
    </row>
    <row r="614" ht="15.75" customHeight="1">
      <c r="J614" s="215"/>
      <c r="K614" s="215"/>
      <c r="L614" s="215"/>
    </row>
    <row r="615" ht="15.75" customHeight="1">
      <c r="J615" s="215"/>
      <c r="K615" s="215"/>
      <c r="L615" s="215"/>
    </row>
    <row r="616" ht="15.75" customHeight="1">
      <c r="J616" s="215"/>
      <c r="K616" s="215"/>
      <c r="L616" s="215"/>
    </row>
    <row r="617" ht="15.75" customHeight="1">
      <c r="J617" s="215"/>
      <c r="K617" s="215"/>
      <c r="L617" s="215"/>
    </row>
    <row r="618" ht="15.75" customHeight="1">
      <c r="J618" s="215"/>
      <c r="K618" s="215"/>
      <c r="L618" s="215"/>
    </row>
    <row r="619" ht="15.75" customHeight="1">
      <c r="J619" s="215"/>
      <c r="K619" s="215"/>
      <c r="L619" s="215"/>
    </row>
    <row r="620" ht="15.75" customHeight="1">
      <c r="J620" s="215"/>
      <c r="K620" s="215"/>
      <c r="L620" s="215"/>
    </row>
    <row r="621" ht="15.75" customHeight="1">
      <c r="J621" s="215"/>
      <c r="K621" s="215"/>
      <c r="L621" s="215"/>
    </row>
    <row r="622" ht="15.75" customHeight="1">
      <c r="J622" s="215"/>
      <c r="K622" s="215"/>
      <c r="L622" s="215"/>
    </row>
    <row r="623" ht="15.75" customHeight="1">
      <c r="J623" s="215"/>
      <c r="K623" s="215"/>
      <c r="L623" s="215"/>
    </row>
    <row r="624" ht="15.75" customHeight="1">
      <c r="J624" s="215"/>
      <c r="K624" s="215"/>
      <c r="L624" s="215"/>
    </row>
    <row r="625" ht="15.75" customHeight="1">
      <c r="J625" s="215"/>
      <c r="K625" s="215"/>
      <c r="L625" s="215"/>
    </row>
    <row r="626" ht="15.75" customHeight="1">
      <c r="J626" s="215"/>
      <c r="K626" s="215"/>
      <c r="L626" s="215"/>
    </row>
    <row r="627" ht="15.75" customHeight="1">
      <c r="J627" s="215"/>
      <c r="K627" s="215"/>
      <c r="L627" s="215"/>
    </row>
    <row r="628" ht="15.75" customHeight="1">
      <c r="J628" s="215"/>
      <c r="K628" s="215"/>
      <c r="L628" s="215"/>
    </row>
    <row r="629" ht="15.75" customHeight="1">
      <c r="J629" s="215"/>
      <c r="K629" s="215"/>
      <c r="L629" s="215"/>
    </row>
    <row r="630" ht="15.75" customHeight="1">
      <c r="J630" s="215"/>
      <c r="K630" s="215"/>
      <c r="L630" s="215"/>
    </row>
    <row r="631" ht="15.75" customHeight="1">
      <c r="J631" s="215"/>
      <c r="K631" s="215"/>
      <c r="L631" s="215"/>
    </row>
    <row r="632" ht="15.75" customHeight="1">
      <c r="J632" s="215"/>
      <c r="K632" s="215"/>
      <c r="L632" s="215"/>
    </row>
    <row r="633" ht="15.75" customHeight="1">
      <c r="J633" s="215"/>
      <c r="K633" s="215"/>
      <c r="L633" s="215"/>
    </row>
    <row r="634" ht="15.75" customHeight="1">
      <c r="J634" s="215"/>
      <c r="K634" s="215"/>
      <c r="L634" s="215"/>
    </row>
    <row r="635" ht="15.75" customHeight="1">
      <c r="J635" s="215"/>
      <c r="K635" s="215"/>
      <c r="L635" s="215"/>
    </row>
    <row r="636" ht="15.75" customHeight="1">
      <c r="J636" s="215"/>
      <c r="K636" s="215"/>
      <c r="L636" s="215"/>
    </row>
    <row r="637" ht="15.75" customHeight="1">
      <c r="J637" s="215"/>
      <c r="K637" s="215"/>
      <c r="L637" s="215"/>
    </row>
    <row r="638" ht="15.75" customHeight="1">
      <c r="J638" s="215"/>
      <c r="K638" s="215"/>
      <c r="L638" s="215"/>
    </row>
    <row r="639" ht="15.75" customHeight="1">
      <c r="J639" s="215"/>
      <c r="K639" s="215"/>
      <c r="L639" s="215"/>
    </row>
    <row r="640" ht="15.75" customHeight="1">
      <c r="J640" s="215"/>
      <c r="K640" s="215"/>
      <c r="L640" s="215"/>
    </row>
    <row r="641" ht="15.75" customHeight="1">
      <c r="J641" s="215"/>
      <c r="K641" s="215"/>
      <c r="L641" s="215"/>
    </row>
    <row r="642" ht="15.75" customHeight="1">
      <c r="J642" s="215"/>
      <c r="K642" s="215"/>
      <c r="L642" s="215"/>
    </row>
    <row r="643" ht="15.75" customHeight="1">
      <c r="J643" s="215"/>
      <c r="K643" s="215"/>
      <c r="L643" s="215"/>
    </row>
    <row r="644" ht="15.75" customHeight="1">
      <c r="J644" s="215"/>
      <c r="K644" s="215"/>
      <c r="L644" s="215"/>
    </row>
    <row r="645" ht="15.75" customHeight="1">
      <c r="J645" s="215"/>
      <c r="K645" s="215"/>
      <c r="L645" s="215"/>
    </row>
    <row r="646" ht="15.75" customHeight="1">
      <c r="J646" s="215"/>
      <c r="K646" s="215"/>
      <c r="L646" s="215"/>
    </row>
    <row r="647" ht="15.75" customHeight="1">
      <c r="J647" s="215"/>
      <c r="K647" s="215"/>
      <c r="L647" s="215"/>
    </row>
    <row r="648" ht="15.75" customHeight="1">
      <c r="J648" s="215"/>
      <c r="K648" s="215"/>
      <c r="L648" s="215"/>
    </row>
    <row r="649" ht="15.75" customHeight="1">
      <c r="J649" s="215"/>
      <c r="K649" s="215"/>
      <c r="L649" s="215"/>
    </row>
    <row r="650" ht="15.75" customHeight="1">
      <c r="J650" s="215"/>
      <c r="K650" s="215"/>
      <c r="L650" s="215"/>
    </row>
    <row r="651" ht="15.75" customHeight="1">
      <c r="J651" s="215"/>
      <c r="K651" s="215"/>
      <c r="L651" s="215"/>
    </row>
    <row r="652" ht="15.75" customHeight="1">
      <c r="J652" s="215"/>
      <c r="K652" s="215"/>
      <c r="L652" s="215"/>
    </row>
    <row r="653" ht="15.75" customHeight="1">
      <c r="J653" s="215"/>
      <c r="K653" s="215"/>
      <c r="L653" s="215"/>
    </row>
    <row r="654" ht="15.75" customHeight="1">
      <c r="J654" s="215"/>
      <c r="K654" s="215"/>
      <c r="L654" s="215"/>
    </row>
    <row r="655" ht="15.75" customHeight="1">
      <c r="J655" s="215"/>
      <c r="K655" s="215"/>
      <c r="L655" s="215"/>
    </row>
    <row r="656" ht="15.75" customHeight="1">
      <c r="J656" s="215"/>
      <c r="K656" s="215"/>
      <c r="L656" s="215"/>
    </row>
    <row r="657" ht="15.75" customHeight="1">
      <c r="J657" s="215"/>
      <c r="K657" s="215"/>
      <c r="L657" s="215"/>
    </row>
    <row r="658" ht="15.75" customHeight="1">
      <c r="J658" s="215"/>
      <c r="K658" s="215"/>
      <c r="L658" s="215"/>
    </row>
    <row r="659" ht="15.75" customHeight="1">
      <c r="J659" s="215"/>
      <c r="K659" s="215"/>
      <c r="L659" s="215"/>
    </row>
    <row r="660" ht="15.75" customHeight="1">
      <c r="J660" s="215"/>
      <c r="K660" s="215"/>
      <c r="L660" s="215"/>
    </row>
    <row r="661" ht="15.75" customHeight="1">
      <c r="J661" s="215"/>
      <c r="K661" s="215"/>
      <c r="L661" s="215"/>
    </row>
    <row r="662" ht="15.75" customHeight="1">
      <c r="J662" s="215"/>
      <c r="K662" s="215"/>
      <c r="L662" s="215"/>
    </row>
    <row r="663" ht="15.75" customHeight="1">
      <c r="J663" s="215"/>
      <c r="K663" s="215"/>
      <c r="L663" s="215"/>
    </row>
    <row r="664" ht="15.75" customHeight="1">
      <c r="J664" s="215"/>
      <c r="K664" s="215"/>
      <c r="L664" s="215"/>
    </row>
    <row r="665" ht="15.75" customHeight="1">
      <c r="J665" s="215"/>
      <c r="K665" s="215"/>
      <c r="L665" s="215"/>
    </row>
    <row r="666" ht="15.75" customHeight="1">
      <c r="J666" s="215"/>
      <c r="K666" s="215"/>
      <c r="L666" s="215"/>
    </row>
    <row r="667" ht="15.75" customHeight="1">
      <c r="J667" s="215"/>
      <c r="K667" s="215"/>
      <c r="L667" s="215"/>
    </row>
    <row r="668" ht="15.75" customHeight="1">
      <c r="J668" s="215"/>
      <c r="K668" s="215"/>
      <c r="L668" s="215"/>
    </row>
    <row r="669" ht="15.75" customHeight="1">
      <c r="J669" s="215"/>
      <c r="K669" s="215"/>
      <c r="L669" s="215"/>
    </row>
    <row r="670" ht="15.75" customHeight="1">
      <c r="J670" s="215"/>
      <c r="K670" s="215"/>
      <c r="L670" s="215"/>
    </row>
    <row r="671" ht="15.75" customHeight="1">
      <c r="J671" s="215"/>
      <c r="K671" s="215"/>
      <c r="L671" s="215"/>
    </row>
    <row r="672" ht="15.75" customHeight="1">
      <c r="J672" s="215"/>
      <c r="K672" s="215"/>
      <c r="L672" s="215"/>
    </row>
    <row r="673" ht="15.75" customHeight="1">
      <c r="J673" s="215"/>
      <c r="K673" s="215"/>
      <c r="L673" s="215"/>
    </row>
    <row r="674" ht="15.75" customHeight="1">
      <c r="J674" s="215"/>
      <c r="K674" s="215"/>
      <c r="L674" s="215"/>
    </row>
    <row r="675" ht="15.75" customHeight="1">
      <c r="J675" s="215"/>
      <c r="K675" s="215"/>
      <c r="L675" s="215"/>
    </row>
    <row r="676" ht="15.75" customHeight="1">
      <c r="J676" s="215"/>
      <c r="K676" s="215"/>
      <c r="L676" s="215"/>
    </row>
    <row r="677" ht="15.75" customHeight="1">
      <c r="J677" s="215"/>
      <c r="K677" s="215"/>
      <c r="L677" s="215"/>
    </row>
    <row r="678" ht="15.75" customHeight="1">
      <c r="J678" s="215"/>
      <c r="K678" s="215"/>
      <c r="L678" s="215"/>
    </row>
    <row r="679" ht="15.75" customHeight="1">
      <c r="J679" s="215"/>
      <c r="K679" s="215"/>
      <c r="L679" s="215"/>
    </row>
    <row r="680" ht="15.75" customHeight="1">
      <c r="J680" s="215"/>
      <c r="K680" s="215"/>
      <c r="L680" s="215"/>
    </row>
    <row r="681" ht="15.75" customHeight="1">
      <c r="J681" s="215"/>
      <c r="K681" s="215"/>
      <c r="L681" s="215"/>
    </row>
    <row r="682" ht="15.75" customHeight="1">
      <c r="J682" s="215"/>
      <c r="K682" s="215"/>
      <c r="L682" s="215"/>
    </row>
    <row r="683" ht="15.75" customHeight="1">
      <c r="J683" s="215"/>
      <c r="K683" s="215"/>
      <c r="L683" s="215"/>
    </row>
    <row r="684" ht="15.75" customHeight="1">
      <c r="J684" s="215"/>
      <c r="K684" s="215"/>
      <c r="L684" s="215"/>
    </row>
    <row r="685" ht="15.75" customHeight="1">
      <c r="J685" s="215"/>
      <c r="K685" s="215"/>
      <c r="L685" s="215"/>
    </row>
    <row r="686" ht="15.75" customHeight="1">
      <c r="J686" s="215"/>
      <c r="K686" s="215"/>
      <c r="L686" s="215"/>
    </row>
    <row r="687" ht="15.75" customHeight="1">
      <c r="J687" s="215"/>
      <c r="K687" s="215"/>
      <c r="L687" s="215"/>
    </row>
    <row r="688" ht="15.75" customHeight="1">
      <c r="J688" s="215"/>
      <c r="K688" s="215"/>
      <c r="L688" s="215"/>
    </row>
    <row r="689" ht="15.75" customHeight="1">
      <c r="J689" s="215"/>
      <c r="K689" s="215"/>
      <c r="L689" s="215"/>
    </row>
    <row r="690" ht="15.75" customHeight="1">
      <c r="J690" s="215"/>
      <c r="K690" s="215"/>
      <c r="L690" s="215"/>
    </row>
    <row r="691" ht="15.75" customHeight="1">
      <c r="J691" s="215"/>
      <c r="K691" s="215"/>
      <c r="L691" s="215"/>
    </row>
    <row r="692" ht="15.75" customHeight="1">
      <c r="J692" s="215"/>
      <c r="K692" s="215"/>
      <c r="L692" s="215"/>
    </row>
    <row r="693" ht="15.75" customHeight="1">
      <c r="J693" s="215"/>
      <c r="K693" s="215"/>
      <c r="L693" s="215"/>
    </row>
    <row r="694" ht="15.75" customHeight="1">
      <c r="J694" s="215"/>
      <c r="K694" s="215"/>
      <c r="L694" s="215"/>
    </row>
    <row r="695" ht="15.75" customHeight="1">
      <c r="J695" s="215"/>
      <c r="K695" s="215"/>
      <c r="L695" s="215"/>
    </row>
    <row r="696" ht="15.75" customHeight="1">
      <c r="J696" s="215"/>
      <c r="K696" s="215"/>
      <c r="L696" s="215"/>
    </row>
    <row r="697" ht="15.75" customHeight="1">
      <c r="J697" s="215"/>
      <c r="K697" s="215"/>
      <c r="L697" s="215"/>
    </row>
    <row r="698" ht="15.75" customHeight="1">
      <c r="J698" s="215"/>
      <c r="K698" s="215"/>
      <c r="L698" s="215"/>
    </row>
    <row r="699" ht="15.75" customHeight="1">
      <c r="J699" s="215"/>
      <c r="K699" s="215"/>
      <c r="L699" s="215"/>
    </row>
    <row r="700" ht="15.75" customHeight="1">
      <c r="J700" s="215"/>
      <c r="K700" s="215"/>
      <c r="L700" s="215"/>
    </row>
    <row r="701" ht="15.75" customHeight="1">
      <c r="J701" s="215"/>
      <c r="K701" s="215"/>
      <c r="L701" s="215"/>
    </row>
    <row r="702" ht="15.75" customHeight="1">
      <c r="J702" s="215"/>
      <c r="K702" s="215"/>
      <c r="L702" s="215"/>
    </row>
    <row r="703" ht="15.75" customHeight="1">
      <c r="J703" s="215"/>
      <c r="K703" s="215"/>
      <c r="L703" s="215"/>
    </row>
    <row r="704" ht="15.75" customHeight="1">
      <c r="J704" s="215"/>
      <c r="K704" s="215"/>
      <c r="L704" s="215"/>
    </row>
    <row r="705" ht="15.75" customHeight="1">
      <c r="J705" s="215"/>
      <c r="K705" s="215"/>
      <c r="L705" s="215"/>
    </row>
    <row r="706" ht="15.75" customHeight="1">
      <c r="J706" s="215"/>
      <c r="K706" s="215"/>
      <c r="L706" s="215"/>
    </row>
    <row r="707" ht="15.75" customHeight="1">
      <c r="J707" s="215"/>
      <c r="K707" s="215"/>
      <c r="L707" s="215"/>
    </row>
    <row r="708" ht="15.75" customHeight="1">
      <c r="J708" s="215"/>
      <c r="K708" s="215"/>
      <c r="L708" s="215"/>
    </row>
    <row r="709" ht="15.75" customHeight="1">
      <c r="J709" s="215"/>
      <c r="K709" s="215"/>
      <c r="L709" s="215"/>
    </row>
    <row r="710" ht="15.75" customHeight="1">
      <c r="J710" s="215"/>
      <c r="K710" s="215"/>
      <c r="L710" s="215"/>
    </row>
    <row r="711" ht="15.75" customHeight="1">
      <c r="J711" s="215"/>
      <c r="K711" s="215"/>
      <c r="L711" s="215"/>
    </row>
    <row r="712" ht="15.75" customHeight="1">
      <c r="J712" s="215"/>
      <c r="K712" s="215"/>
      <c r="L712" s="215"/>
    </row>
    <row r="713" ht="15.75" customHeight="1">
      <c r="J713" s="215"/>
      <c r="K713" s="215"/>
      <c r="L713" s="215"/>
    </row>
    <row r="714" ht="15.75" customHeight="1">
      <c r="J714" s="215"/>
      <c r="K714" s="215"/>
      <c r="L714" s="215"/>
    </row>
    <row r="715" ht="15.75" customHeight="1">
      <c r="J715" s="215"/>
      <c r="K715" s="215"/>
      <c r="L715" s="215"/>
    </row>
    <row r="716" ht="15.75" customHeight="1">
      <c r="J716" s="215"/>
      <c r="K716" s="215"/>
      <c r="L716" s="215"/>
    </row>
    <row r="717" ht="15.75" customHeight="1">
      <c r="J717" s="215"/>
      <c r="K717" s="215"/>
      <c r="L717" s="215"/>
    </row>
    <row r="718" ht="15.75" customHeight="1">
      <c r="J718" s="215"/>
      <c r="K718" s="215"/>
      <c r="L718" s="215"/>
    </row>
    <row r="719" ht="15.75" customHeight="1">
      <c r="J719" s="215"/>
      <c r="K719" s="215"/>
      <c r="L719" s="215"/>
    </row>
    <row r="720" ht="15.75" customHeight="1">
      <c r="J720" s="215"/>
      <c r="K720" s="215"/>
      <c r="L720" s="215"/>
    </row>
    <row r="721" ht="15.75" customHeight="1">
      <c r="J721" s="215"/>
      <c r="K721" s="215"/>
      <c r="L721" s="215"/>
    </row>
    <row r="722" ht="15.75" customHeight="1">
      <c r="J722" s="215"/>
      <c r="K722" s="215"/>
      <c r="L722" s="215"/>
    </row>
    <row r="723" ht="15.75" customHeight="1">
      <c r="J723" s="215"/>
      <c r="K723" s="215"/>
      <c r="L723" s="215"/>
    </row>
    <row r="724" ht="15.75" customHeight="1">
      <c r="J724" s="215"/>
      <c r="K724" s="215"/>
      <c r="L724" s="215"/>
    </row>
    <row r="725" ht="15.75" customHeight="1">
      <c r="J725" s="215"/>
      <c r="K725" s="215"/>
      <c r="L725" s="215"/>
    </row>
    <row r="726" ht="15.75" customHeight="1">
      <c r="J726" s="215"/>
      <c r="K726" s="215"/>
      <c r="L726" s="215"/>
    </row>
    <row r="727" ht="15.75" customHeight="1">
      <c r="J727" s="215"/>
      <c r="K727" s="215"/>
      <c r="L727" s="215"/>
    </row>
    <row r="728" ht="15.75" customHeight="1">
      <c r="J728" s="215"/>
      <c r="K728" s="215"/>
      <c r="L728" s="215"/>
    </row>
    <row r="729" ht="15.75" customHeight="1">
      <c r="J729" s="215"/>
      <c r="K729" s="215"/>
      <c r="L729" s="215"/>
    </row>
    <row r="730" ht="15.75" customHeight="1">
      <c r="J730" s="215"/>
      <c r="K730" s="215"/>
      <c r="L730" s="215"/>
    </row>
    <row r="731" ht="15.75" customHeight="1">
      <c r="J731" s="215"/>
      <c r="K731" s="215"/>
      <c r="L731" s="215"/>
    </row>
    <row r="732" ht="15.75" customHeight="1">
      <c r="J732" s="215"/>
      <c r="K732" s="215"/>
      <c r="L732" s="215"/>
    </row>
    <row r="733" ht="15.75" customHeight="1">
      <c r="J733" s="215"/>
      <c r="K733" s="215"/>
      <c r="L733" s="215"/>
    </row>
    <row r="734" ht="15.75" customHeight="1">
      <c r="J734" s="215"/>
      <c r="K734" s="215"/>
      <c r="L734" s="215"/>
    </row>
    <row r="735" ht="15.75" customHeight="1">
      <c r="J735" s="215"/>
      <c r="K735" s="215"/>
      <c r="L735" s="215"/>
    </row>
    <row r="736" ht="15.75" customHeight="1">
      <c r="J736" s="215"/>
      <c r="K736" s="215"/>
      <c r="L736" s="215"/>
    </row>
    <row r="737" ht="15.75" customHeight="1">
      <c r="J737" s="215"/>
      <c r="K737" s="215"/>
      <c r="L737" s="215"/>
    </row>
    <row r="738" ht="15.75" customHeight="1">
      <c r="J738" s="215"/>
      <c r="K738" s="215"/>
      <c r="L738" s="215"/>
    </row>
    <row r="739" ht="15.75" customHeight="1">
      <c r="J739" s="215"/>
      <c r="K739" s="215"/>
      <c r="L739" s="215"/>
    </row>
    <row r="740" ht="15.75" customHeight="1">
      <c r="J740" s="215"/>
      <c r="K740" s="215"/>
      <c r="L740" s="215"/>
    </row>
    <row r="741" ht="15.75" customHeight="1">
      <c r="J741" s="215"/>
      <c r="K741" s="215"/>
      <c r="L741" s="215"/>
    </row>
    <row r="742" ht="15.75" customHeight="1">
      <c r="J742" s="215"/>
      <c r="K742" s="215"/>
      <c r="L742" s="215"/>
    </row>
    <row r="743" ht="15.75" customHeight="1">
      <c r="J743" s="215"/>
      <c r="K743" s="215"/>
      <c r="L743" s="215"/>
    </row>
    <row r="744" ht="15.75" customHeight="1">
      <c r="J744" s="215"/>
      <c r="K744" s="215"/>
      <c r="L744" s="215"/>
    </row>
    <row r="745" ht="15.75" customHeight="1">
      <c r="J745" s="215"/>
      <c r="K745" s="215"/>
      <c r="L745" s="215"/>
    </row>
    <row r="746" ht="15.75" customHeight="1">
      <c r="J746" s="215"/>
      <c r="K746" s="215"/>
      <c r="L746" s="215"/>
    </row>
    <row r="747" ht="15.75" customHeight="1">
      <c r="J747" s="215"/>
      <c r="K747" s="215"/>
      <c r="L747" s="215"/>
    </row>
    <row r="748" ht="15.75" customHeight="1">
      <c r="J748" s="215"/>
      <c r="K748" s="215"/>
      <c r="L748" s="215"/>
    </row>
    <row r="749" ht="15.75" customHeight="1">
      <c r="J749" s="215"/>
      <c r="K749" s="215"/>
      <c r="L749" s="215"/>
    </row>
    <row r="750" ht="15.75" customHeight="1">
      <c r="J750" s="215"/>
      <c r="K750" s="215"/>
      <c r="L750" s="215"/>
    </row>
    <row r="751" ht="15.75" customHeight="1">
      <c r="J751" s="215"/>
      <c r="K751" s="215"/>
      <c r="L751" s="215"/>
    </row>
    <row r="752" ht="15.75" customHeight="1">
      <c r="J752" s="215"/>
      <c r="K752" s="215"/>
      <c r="L752" s="215"/>
    </row>
    <row r="753" ht="15.75" customHeight="1">
      <c r="J753" s="215"/>
      <c r="K753" s="215"/>
      <c r="L753" s="215"/>
    </row>
    <row r="754" ht="15.75" customHeight="1">
      <c r="J754" s="215"/>
      <c r="K754" s="215"/>
      <c r="L754" s="215"/>
    </row>
    <row r="755" ht="15.75" customHeight="1">
      <c r="J755" s="215"/>
      <c r="K755" s="215"/>
      <c r="L755" s="215"/>
    </row>
    <row r="756" ht="15.75" customHeight="1">
      <c r="J756" s="215"/>
      <c r="K756" s="215"/>
      <c r="L756" s="215"/>
    </row>
    <row r="757" ht="15.75" customHeight="1">
      <c r="J757" s="215"/>
      <c r="K757" s="215"/>
      <c r="L757" s="215"/>
    </row>
    <row r="758" ht="15.75" customHeight="1">
      <c r="J758" s="215"/>
      <c r="K758" s="215"/>
      <c r="L758" s="215"/>
    </row>
    <row r="759" ht="15.75" customHeight="1">
      <c r="J759" s="215"/>
      <c r="K759" s="215"/>
      <c r="L759" s="215"/>
    </row>
    <row r="760" ht="15.75" customHeight="1">
      <c r="J760" s="215"/>
      <c r="K760" s="215"/>
      <c r="L760" s="215"/>
    </row>
    <row r="761" ht="15.75" customHeight="1">
      <c r="J761" s="215"/>
      <c r="K761" s="215"/>
      <c r="L761" s="215"/>
    </row>
    <row r="762" ht="15.75" customHeight="1">
      <c r="J762" s="215"/>
      <c r="K762" s="215"/>
      <c r="L762" s="215"/>
    </row>
    <row r="763" ht="15.75" customHeight="1">
      <c r="J763" s="215"/>
      <c r="K763" s="215"/>
      <c r="L763" s="215"/>
    </row>
    <row r="764" ht="15.75" customHeight="1">
      <c r="J764" s="215"/>
      <c r="K764" s="215"/>
      <c r="L764" s="215"/>
    </row>
    <row r="765" ht="15.75" customHeight="1">
      <c r="J765" s="215"/>
      <c r="K765" s="215"/>
      <c r="L765" s="215"/>
    </row>
    <row r="766" ht="15.75" customHeight="1">
      <c r="J766" s="215"/>
      <c r="K766" s="215"/>
      <c r="L766" s="215"/>
    </row>
    <row r="767" ht="15.75" customHeight="1">
      <c r="J767" s="215"/>
      <c r="K767" s="215"/>
      <c r="L767" s="215"/>
    </row>
    <row r="768" ht="15.75" customHeight="1">
      <c r="J768" s="215"/>
      <c r="K768" s="215"/>
      <c r="L768" s="215"/>
    </row>
    <row r="769" ht="15.75" customHeight="1">
      <c r="J769" s="215"/>
      <c r="K769" s="215"/>
      <c r="L769" s="215"/>
    </row>
    <row r="770" ht="15.75" customHeight="1">
      <c r="J770" s="215"/>
      <c r="K770" s="215"/>
      <c r="L770" s="215"/>
    </row>
    <row r="771" ht="15.75" customHeight="1">
      <c r="J771" s="215"/>
      <c r="K771" s="215"/>
      <c r="L771" s="215"/>
    </row>
    <row r="772" ht="15.75" customHeight="1">
      <c r="J772" s="215"/>
      <c r="K772" s="215"/>
      <c r="L772" s="215"/>
    </row>
    <row r="773" ht="15.75" customHeight="1">
      <c r="J773" s="215"/>
      <c r="K773" s="215"/>
      <c r="L773" s="215"/>
    </row>
    <row r="774" ht="15.75" customHeight="1">
      <c r="J774" s="215"/>
      <c r="K774" s="215"/>
      <c r="L774" s="215"/>
    </row>
    <row r="775" ht="15.75" customHeight="1">
      <c r="J775" s="215"/>
      <c r="K775" s="215"/>
      <c r="L775" s="215"/>
    </row>
    <row r="776" ht="15.75" customHeight="1">
      <c r="J776" s="215"/>
      <c r="K776" s="215"/>
      <c r="L776" s="215"/>
    </row>
    <row r="777" ht="15.75" customHeight="1">
      <c r="J777" s="215"/>
      <c r="K777" s="215"/>
      <c r="L777" s="215"/>
    </row>
    <row r="778" ht="15.75" customHeight="1">
      <c r="J778" s="215"/>
      <c r="K778" s="215"/>
      <c r="L778" s="215"/>
    </row>
    <row r="779" ht="15.75" customHeight="1">
      <c r="J779" s="215"/>
      <c r="K779" s="215"/>
      <c r="L779" s="215"/>
    </row>
    <row r="780" ht="15.75" customHeight="1">
      <c r="J780" s="215"/>
      <c r="K780" s="215"/>
      <c r="L780" s="215"/>
    </row>
    <row r="781" ht="15.75" customHeight="1">
      <c r="J781" s="215"/>
      <c r="K781" s="215"/>
      <c r="L781" s="215"/>
    </row>
    <row r="782" ht="15.75" customHeight="1">
      <c r="J782" s="215"/>
      <c r="K782" s="215"/>
      <c r="L782" s="215"/>
    </row>
    <row r="783" ht="15.75" customHeight="1">
      <c r="J783" s="215"/>
      <c r="K783" s="215"/>
      <c r="L783" s="215"/>
    </row>
    <row r="784" ht="15.75" customHeight="1">
      <c r="J784" s="215"/>
      <c r="K784" s="215"/>
      <c r="L784" s="215"/>
    </row>
    <row r="785" ht="15.75" customHeight="1">
      <c r="J785" s="215"/>
      <c r="K785" s="215"/>
      <c r="L785" s="215"/>
    </row>
    <row r="786" ht="15.75" customHeight="1">
      <c r="J786" s="215"/>
      <c r="K786" s="215"/>
      <c r="L786" s="215"/>
    </row>
    <row r="787" ht="15.75" customHeight="1">
      <c r="J787" s="215"/>
      <c r="K787" s="215"/>
      <c r="L787" s="215"/>
    </row>
    <row r="788" ht="15.75" customHeight="1">
      <c r="J788" s="215"/>
      <c r="K788" s="215"/>
      <c r="L788" s="215"/>
    </row>
    <row r="789" ht="15.75" customHeight="1">
      <c r="J789" s="215"/>
      <c r="K789" s="215"/>
      <c r="L789" s="215"/>
    </row>
    <row r="790" ht="15.75" customHeight="1">
      <c r="J790" s="215"/>
      <c r="K790" s="215"/>
      <c r="L790" s="215"/>
    </row>
    <row r="791" ht="15.75" customHeight="1">
      <c r="J791" s="215"/>
      <c r="K791" s="215"/>
      <c r="L791" s="215"/>
    </row>
    <row r="792" ht="15.75" customHeight="1">
      <c r="J792" s="215"/>
      <c r="K792" s="215"/>
      <c r="L792" s="215"/>
    </row>
    <row r="793" ht="15.75" customHeight="1">
      <c r="J793" s="215"/>
      <c r="K793" s="215"/>
      <c r="L793" s="215"/>
    </row>
    <row r="794" ht="15.75" customHeight="1">
      <c r="J794" s="215"/>
      <c r="K794" s="215"/>
      <c r="L794" s="215"/>
    </row>
    <row r="795" ht="15.75" customHeight="1">
      <c r="J795" s="215"/>
      <c r="K795" s="215"/>
      <c r="L795" s="215"/>
    </row>
    <row r="796" ht="15.75" customHeight="1">
      <c r="J796" s="215"/>
      <c r="K796" s="215"/>
      <c r="L796" s="215"/>
    </row>
    <row r="797" ht="15.75" customHeight="1">
      <c r="J797" s="215"/>
      <c r="K797" s="215"/>
      <c r="L797" s="215"/>
    </row>
    <row r="798" ht="15.75" customHeight="1">
      <c r="J798" s="215"/>
      <c r="K798" s="215"/>
      <c r="L798" s="215"/>
    </row>
    <row r="799" ht="15.75" customHeight="1">
      <c r="J799" s="215"/>
      <c r="K799" s="215"/>
      <c r="L799" s="215"/>
    </row>
    <row r="800" ht="15.75" customHeight="1">
      <c r="J800" s="215"/>
      <c r="K800" s="215"/>
      <c r="L800" s="215"/>
    </row>
    <row r="801" ht="15.75" customHeight="1">
      <c r="J801" s="215"/>
      <c r="K801" s="215"/>
      <c r="L801" s="215"/>
    </row>
    <row r="802" ht="15.75" customHeight="1">
      <c r="J802" s="215"/>
      <c r="K802" s="215"/>
      <c r="L802" s="215"/>
    </row>
    <row r="803" ht="15.75" customHeight="1">
      <c r="J803" s="215"/>
      <c r="K803" s="215"/>
      <c r="L803" s="215"/>
    </row>
    <row r="804" ht="15.75" customHeight="1">
      <c r="J804" s="215"/>
      <c r="K804" s="215"/>
      <c r="L804" s="215"/>
    </row>
    <row r="805" ht="15.75" customHeight="1">
      <c r="J805" s="215"/>
      <c r="K805" s="215"/>
      <c r="L805" s="215"/>
    </row>
    <row r="806" ht="15.75" customHeight="1">
      <c r="J806" s="215"/>
      <c r="K806" s="215"/>
      <c r="L806" s="215"/>
    </row>
    <row r="807" ht="15.75" customHeight="1">
      <c r="J807" s="215"/>
      <c r="K807" s="215"/>
      <c r="L807" s="215"/>
    </row>
    <row r="808" ht="15.75" customHeight="1">
      <c r="J808" s="215"/>
      <c r="K808" s="215"/>
      <c r="L808" s="215"/>
    </row>
    <row r="809" ht="15.75" customHeight="1">
      <c r="J809" s="215"/>
      <c r="K809" s="215"/>
      <c r="L809" s="215"/>
    </row>
    <row r="810" ht="15.75" customHeight="1">
      <c r="J810" s="215"/>
      <c r="K810" s="215"/>
      <c r="L810" s="215"/>
    </row>
    <row r="811" ht="15.75" customHeight="1">
      <c r="J811" s="215"/>
      <c r="K811" s="215"/>
      <c r="L811" s="215"/>
    </row>
    <row r="812" ht="15.75" customHeight="1">
      <c r="J812" s="215"/>
      <c r="K812" s="215"/>
      <c r="L812" s="215"/>
    </row>
    <row r="813" ht="15.75" customHeight="1">
      <c r="J813" s="215"/>
      <c r="K813" s="215"/>
      <c r="L813" s="215"/>
    </row>
    <row r="814" ht="15.75" customHeight="1">
      <c r="J814" s="215"/>
      <c r="K814" s="215"/>
      <c r="L814" s="215"/>
    </row>
    <row r="815" ht="15.75" customHeight="1">
      <c r="J815" s="215"/>
      <c r="K815" s="215"/>
      <c r="L815" s="215"/>
    </row>
    <row r="816" ht="15.75" customHeight="1">
      <c r="J816" s="215"/>
      <c r="K816" s="215"/>
      <c r="L816" s="215"/>
    </row>
    <row r="817" ht="15.75" customHeight="1">
      <c r="J817" s="215"/>
      <c r="K817" s="215"/>
      <c r="L817" s="215"/>
    </row>
    <row r="818" ht="15.75" customHeight="1">
      <c r="J818" s="215"/>
      <c r="K818" s="215"/>
      <c r="L818" s="215"/>
    </row>
    <row r="819" ht="15.75" customHeight="1">
      <c r="J819" s="215"/>
      <c r="K819" s="215"/>
      <c r="L819" s="215"/>
    </row>
    <row r="820" ht="15.75" customHeight="1">
      <c r="J820" s="215"/>
      <c r="K820" s="215"/>
      <c r="L820" s="215"/>
    </row>
    <row r="821" ht="15.75" customHeight="1">
      <c r="J821" s="215"/>
      <c r="K821" s="215"/>
      <c r="L821" s="215"/>
    </row>
    <row r="822" ht="15.75" customHeight="1">
      <c r="J822" s="215"/>
      <c r="K822" s="215"/>
      <c r="L822" s="215"/>
    </row>
    <row r="823" ht="15.75" customHeight="1">
      <c r="J823" s="215"/>
      <c r="K823" s="215"/>
      <c r="L823" s="215"/>
    </row>
    <row r="824" ht="15.75" customHeight="1">
      <c r="J824" s="215"/>
      <c r="K824" s="215"/>
      <c r="L824" s="215"/>
    </row>
    <row r="825" ht="15.75" customHeight="1">
      <c r="J825" s="215"/>
      <c r="K825" s="215"/>
      <c r="L825" s="215"/>
    </row>
    <row r="826" ht="15.75" customHeight="1">
      <c r="J826" s="215"/>
      <c r="K826" s="215"/>
      <c r="L826" s="215"/>
    </row>
    <row r="827" ht="15.75" customHeight="1">
      <c r="J827" s="215"/>
      <c r="K827" s="215"/>
      <c r="L827" s="215"/>
    </row>
    <row r="828" ht="15.75" customHeight="1">
      <c r="J828" s="215"/>
      <c r="K828" s="215"/>
      <c r="L828" s="215"/>
    </row>
    <row r="829" ht="15.75" customHeight="1">
      <c r="J829" s="215"/>
      <c r="K829" s="215"/>
      <c r="L829" s="215"/>
    </row>
    <row r="830" ht="15.75" customHeight="1">
      <c r="J830" s="215"/>
      <c r="K830" s="215"/>
      <c r="L830" s="215"/>
    </row>
    <row r="831" ht="15.75" customHeight="1">
      <c r="J831" s="215"/>
      <c r="K831" s="215"/>
      <c r="L831" s="215"/>
    </row>
    <row r="832" ht="15.75" customHeight="1">
      <c r="J832" s="215"/>
      <c r="K832" s="215"/>
      <c r="L832" s="215"/>
    </row>
    <row r="833" ht="15.75" customHeight="1">
      <c r="J833" s="215"/>
      <c r="K833" s="215"/>
      <c r="L833" s="215"/>
    </row>
    <row r="834" ht="15.75" customHeight="1">
      <c r="J834" s="215"/>
      <c r="K834" s="215"/>
      <c r="L834" s="215"/>
    </row>
    <row r="835" ht="15.75" customHeight="1">
      <c r="J835" s="215"/>
      <c r="K835" s="215"/>
      <c r="L835" s="215"/>
    </row>
    <row r="836" ht="15.75" customHeight="1">
      <c r="J836" s="215"/>
      <c r="K836" s="215"/>
      <c r="L836" s="215"/>
    </row>
    <row r="837" ht="15.75" customHeight="1">
      <c r="J837" s="215"/>
      <c r="K837" s="215"/>
      <c r="L837" s="215"/>
    </row>
    <row r="838" ht="15.75" customHeight="1">
      <c r="J838" s="215"/>
      <c r="K838" s="215"/>
      <c r="L838" s="215"/>
    </row>
    <row r="839" ht="15.75" customHeight="1">
      <c r="J839" s="215"/>
      <c r="K839" s="215"/>
      <c r="L839" s="215"/>
    </row>
    <row r="840" ht="15.75" customHeight="1">
      <c r="J840" s="215"/>
      <c r="K840" s="215"/>
      <c r="L840" s="215"/>
    </row>
    <row r="841" ht="15.75" customHeight="1">
      <c r="J841" s="215"/>
      <c r="K841" s="215"/>
      <c r="L841" s="215"/>
    </row>
    <row r="842" ht="15.75" customHeight="1">
      <c r="J842" s="215"/>
      <c r="K842" s="215"/>
      <c r="L842" s="215"/>
    </row>
    <row r="843" ht="15.75" customHeight="1">
      <c r="J843" s="215"/>
      <c r="K843" s="215"/>
      <c r="L843" s="215"/>
    </row>
    <row r="844" ht="15.75" customHeight="1">
      <c r="J844" s="215"/>
      <c r="K844" s="215"/>
      <c r="L844" s="215"/>
    </row>
    <row r="845" ht="15.75" customHeight="1">
      <c r="J845" s="215"/>
      <c r="K845" s="215"/>
      <c r="L845" s="215"/>
    </row>
    <row r="846" ht="15.75" customHeight="1">
      <c r="J846" s="215"/>
      <c r="K846" s="215"/>
      <c r="L846" s="215"/>
    </row>
    <row r="847" ht="15.75" customHeight="1">
      <c r="J847" s="215"/>
      <c r="K847" s="215"/>
      <c r="L847" s="215"/>
    </row>
    <row r="848" ht="15.75" customHeight="1">
      <c r="J848" s="215"/>
      <c r="K848" s="215"/>
      <c r="L848" s="215"/>
    </row>
    <row r="849" ht="15.75" customHeight="1">
      <c r="J849" s="215"/>
      <c r="K849" s="215"/>
      <c r="L849" s="215"/>
    </row>
    <row r="850" ht="15.75" customHeight="1">
      <c r="J850" s="215"/>
      <c r="K850" s="215"/>
      <c r="L850" s="215"/>
    </row>
    <row r="851" ht="15.75" customHeight="1">
      <c r="J851" s="215"/>
      <c r="K851" s="215"/>
      <c r="L851" s="215"/>
    </row>
    <row r="852" ht="15.75" customHeight="1">
      <c r="J852" s="215"/>
      <c r="K852" s="215"/>
      <c r="L852" s="215"/>
    </row>
    <row r="853" ht="15.75" customHeight="1">
      <c r="J853" s="215"/>
      <c r="K853" s="215"/>
      <c r="L853" s="215"/>
    </row>
    <row r="854" ht="15.75" customHeight="1">
      <c r="J854" s="215"/>
      <c r="K854" s="215"/>
      <c r="L854" s="215"/>
    </row>
    <row r="855" ht="15.75" customHeight="1">
      <c r="J855" s="215"/>
      <c r="K855" s="215"/>
      <c r="L855" s="215"/>
    </row>
    <row r="856" ht="15.75" customHeight="1">
      <c r="J856" s="215"/>
      <c r="K856" s="215"/>
      <c r="L856" s="215"/>
    </row>
    <row r="857" ht="15.75" customHeight="1">
      <c r="J857" s="215"/>
      <c r="K857" s="215"/>
      <c r="L857" s="215"/>
    </row>
    <row r="858" ht="15.75" customHeight="1">
      <c r="J858" s="215"/>
      <c r="K858" s="215"/>
      <c r="L858" s="215"/>
    </row>
    <row r="859" ht="15.75" customHeight="1">
      <c r="J859" s="215"/>
      <c r="K859" s="215"/>
      <c r="L859" s="215"/>
    </row>
    <row r="860" ht="15.75" customHeight="1">
      <c r="J860" s="215"/>
      <c r="K860" s="215"/>
      <c r="L860" s="215"/>
    </row>
    <row r="861" ht="15.75" customHeight="1">
      <c r="J861" s="215"/>
      <c r="K861" s="215"/>
      <c r="L861" s="215"/>
    </row>
    <row r="862" ht="15.75" customHeight="1">
      <c r="J862" s="215"/>
      <c r="K862" s="215"/>
      <c r="L862" s="215"/>
    </row>
    <row r="863" ht="15.75" customHeight="1">
      <c r="J863" s="215"/>
      <c r="K863" s="215"/>
      <c r="L863" s="215"/>
    </row>
    <row r="864" ht="15.75" customHeight="1">
      <c r="J864" s="215"/>
      <c r="K864" s="215"/>
      <c r="L864" s="215"/>
    </row>
    <row r="865" ht="15.75" customHeight="1">
      <c r="J865" s="215"/>
      <c r="K865" s="215"/>
      <c r="L865" s="215"/>
    </row>
    <row r="866" ht="15.75" customHeight="1">
      <c r="J866" s="215"/>
      <c r="K866" s="215"/>
      <c r="L866" s="215"/>
    </row>
    <row r="867" ht="15.75" customHeight="1">
      <c r="J867" s="215"/>
      <c r="K867" s="215"/>
      <c r="L867" s="215"/>
    </row>
    <row r="868" ht="15.75" customHeight="1">
      <c r="J868" s="215"/>
      <c r="K868" s="215"/>
      <c r="L868" s="215"/>
    </row>
    <row r="869" ht="15.75" customHeight="1">
      <c r="J869" s="215"/>
      <c r="K869" s="215"/>
      <c r="L869" s="215"/>
    </row>
    <row r="870" ht="15.75" customHeight="1">
      <c r="J870" s="215"/>
      <c r="K870" s="215"/>
      <c r="L870" s="215"/>
    </row>
    <row r="871" ht="15.75" customHeight="1">
      <c r="J871" s="215"/>
      <c r="K871" s="215"/>
      <c r="L871" s="215"/>
    </row>
    <row r="872" ht="15.75" customHeight="1">
      <c r="J872" s="215"/>
      <c r="K872" s="215"/>
      <c r="L872" s="215"/>
    </row>
    <row r="873" ht="15.75" customHeight="1">
      <c r="J873" s="215"/>
      <c r="K873" s="215"/>
      <c r="L873" s="215"/>
    </row>
    <row r="874" ht="15.75" customHeight="1">
      <c r="J874" s="215"/>
      <c r="K874" s="215"/>
      <c r="L874" s="215"/>
    </row>
    <row r="875" ht="15.75" customHeight="1">
      <c r="J875" s="215"/>
      <c r="K875" s="215"/>
      <c r="L875" s="215"/>
    </row>
    <row r="876" ht="15.75" customHeight="1">
      <c r="J876" s="215"/>
      <c r="K876" s="215"/>
      <c r="L876" s="215"/>
    </row>
    <row r="877" ht="15.75" customHeight="1">
      <c r="J877" s="215"/>
      <c r="K877" s="215"/>
      <c r="L877" s="215"/>
    </row>
    <row r="878" ht="15.75" customHeight="1">
      <c r="J878" s="215"/>
      <c r="K878" s="215"/>
      <c r="L878" s="215"/>
    </row>
    <row r="879" ht="15.75" customHeight="1">
      <c r="J879" s="215"/>
      <c r="K879" s="215"/>
      <c r="L879" s="215"/>
    </row>
    <row r="880" ht="15.75" customHeight="1">
      <c r="J880" s="215"/>
      <c r="K880" s="215"/>
      <c r="L880" s="215"/>
    </row>
    <row r="881" ht="15.75" customHeight="1">
      <c r="J881" s="215"/>
      <c r="K881" s="215"/>
      <c r="L881" s="215"/>
    </row>
    <row r="882" ht="15.75" customHeight="1">
      <c r="J882" s="215"/>
      <c r="K882" s="215"/>
      <c r="L882" s="215"/>
    </row>
    <row r="883" ht="15.75" customHeight="1">
      <c r="J883" s="215"/>
      <c r="K883" s="215"/>
      <c r="L883" s="215"/>
    </row>
    <row r="884" ht="15.75" customHeight="1">
      <c r="J884" s="215"/>
      <c r="K884" s="215"/>
      <c r="L884" s="215"/>
    </row>
    <row r="885" ht="15.75" customHeight="1">
      <c r="J885" s="215"/>
      <c r="K885" s="215"/>
      <c r="L885" s="215"/>
    </row>
    <row r="886" ht="15.75" customHeight="1">
      <c r="J886" s="215"/>
      <c r="K886" s="215"/>
      <c r="L886" s="215"/>
    </row>
    <row r="887" ht="15.75" customHeight="1">
      <c r="J887" s="215"/>
      <c r="K887" s="215"/>
      <c r="L887" s="215"/>
    </row>
    <row r="888" ht="15.75" customHeight="1">
      <c r="J888" s="215"/>
      <c r="K888" s="215"/>
      <c r="L888" s="215"/>
    </row>
    <row r="889" ht="15.75" customHeight="1">
      <c r="J889" s="215"/>
      <c r="K889" s="215"/>
      <c r="L889" s="215"/>
    </row>
    <row r="890" ht="15.75" customHeight="1">
      <c r="J890" s="215"/>
      <c r="K890" s="215"/>
      <c r="L890" s="215"/>
    </row>
    <row r="891" ht="15.75" customHeight="1">
      <c r="J891" s="215"/>
      <c r="K891" s="215"/>
      <c r="L891" s="215"/>
    </row>
    <row r="892" ht="15.75" customHeight="1">
      <c r="J892" s="215"/>
      <c r="K892" s="215"/>
      <c r="L892" s="215"/>
    </row>
    <row r="893" ht="15.75" customHeight="1">
      <c r="J893" s="215"/>
      <c r="K893" s="215"/>
      <c r="L893" s="215"/>
    </row>
    <row r="894" ht="15.75" customHeight="1">
      <c r="J894" s="215"/>
      <c r="K894" s="215"/>
      <c r="L894" s="215"/>
    </row>
    <row r="895" ht="15.75" customHeight="1">
      <c r="J895" s="215"/>
      <c r="K895" s="215"/>
      <c r="L895" s="215"/>
    </row>
    <row r="896" ht="15.75" customHeight="1">
      <c r="J896" s="215"/>
      <c r="K896" s="215"/>
      <c r="L896" s="215"/>
    </row>
    <row r="897" ht="15.75" customHeight="1">
      <c r="J897" s="215"/>
      <c r="K897" s="215"/>
      <c r="L897" s="215"/>
    </row>
    <row r="898" ht="15.75" customHeight="1">
      <c r="J898" s="215"/>
      <c r="K898" s="215"/>
      <c r="L898" s="215"/>
    </row>
    <row r="899" ht="15.75" customHeight="1">
      <c r="J899" s="215"/>
      <c r="K899" s="215"/>
      <c r="L899" s="215"/>
    </row>
    <row r="900" ht="15.75" customHeight="1">
      <c r="J900" s="215"/>
      <c r="K900" s="215"/>
      <c r="L900" s="215"/>
    </row>
    <row r="901" ht="15.75" customHeight="1">
      <c r="J901" s="215"/>
      <c r="K901" s="215"/>
      <c r="L901" s="215"/>
    </row>
    <row r="902" ht="15.75" customHeight="1">
      <c r="J902" s="215"/>
      <c r="K902" s="215"/>
      <c r="L902" s="215"/>
    </row>
    <row r="903" ht="15.75" customHeight="1">
      <c r="J903" s="215"/>
      <c r="K903" s="215"/>
      <c r="L903" s="215"/>
    </row>
    <row r="904" ht="15.75" customHeight="1">
      <c r="J904" s="215"/>
      <c r="K904" s="215"/>
      <c r="L904" s="215"/>
    </row>
    <row r="905" ht="15.75" customHeight="1">
      <c r="J905" s="215"/>
      <c r="K905" s="215"/>
      <c r="L905" s="215"/>
    </row>
    <row r="906" ht="15.75" customHeight="1">
      <c r="J906" s="215"/>
      <c r="K906" s="215"/>
      <c r="L906" s="215"/>
    </row>
    <row r="907" ht="15.75" customHeight="1">
      <c r="J907" s="215"/>
      <c r="K907" s="215"/>
      <c r="L907" s="215"/>
    </row>
    <row r="908" ht="15.75" customHeight="1">
      <c r="J908" s="215"/>
      <c r="K908" s="215"/>
      <c r="L908" s="215"/>
    </row>
    <row r="909" ht="15.75" customHeight="1">
      <c r="J909" s="215"/>
      <c r="K909" s="215"/>
      <c r="L909" s="215"/>
    </row>
    <row r="910" ht="15.75" customHeight="1">
      <c r="J910" s="215"/>
      <c r="K910" s="215"/>
      <c r="L910" s="215"/>
    </row>
    <row r="911" ht="15.75" customHeight="1">
      <c r="J911" s="215"/>
      <c r="K911" s="215"/>
      <c r="L911" s="215"/>
    </row>
    <row r="912" ht="15.75" customHeight="1">
      <c r="J912" s="215"/>
      <c r="K912" s="215"/>
      <c r="L912" s="215"/>
    </row>
    <row r="913" ht="15.75" customHeight="1">
      <c r="J913" s="215"/>
      <c r="K913" s="215"/>
      <c r="L913" s="215"/>
    </row>
    <row r="914" ht="15.75" customHeight="1">
      <c r="J914" s="215"/>
      <c r="K914" s="215"/>
      <c r="L914" s="215"/>
    </row>
    <row r="915" ht="15.75" customHeight="1">
      <c r="J915" s="215"/>
      <c r="K915" s="215"/>
      <c r="L915" s="215"/>
    </row>
    <row r="916" ht="15.75" customHeight="1">
      <c r="J916" s="215"/>
      <c r="K916" s="215"/>
      <c r="L916" s="215"/>
    </row>
    <row r="917" ht="15.75" customHeight="1">
      <c r="J917" s="215"/>
      <c r="K917" s="215"/>
      <c r="L917" s="215"/>
    </row>
    <row r="918" ht="15.75" customHeight="1">
      <c r="J918" s="215"/>
      <c r="K918" s="215"/>
      <c r="L918" s="215"/>
    </row>
    <row r="919" ht="15.75" customHeight="1">
      <c r="J919" s="215"/>
      <c r="K919" s="215"/>
      <c r="L919" s="215"/>
    </row>
    <row r="920" ht="15.75" customHeight="1">
      <c r="J920" s="215"/>
      <c r="K920" s="215"/>
      <c r="L920" s="215"/>
    </row>
    <row r="921" ht="15.75" customHeight="1">
      <c r="J921" s="215"/>
      <c r="K921" s="215"/>
      <c r="L921" s="215"/>
    </row>
    <row r="922" ht="15.75" customHeight="1">
      <c r="J922" s="215"/>
      <c r="K922" s="215"/>
      <c r="L922" s="215"/>
    </row>
    <row r="923" ht="15.75" customHeight="1">
      <c r="J923" s="215"/>
      <c r="K923" s="215"/>
      <c r="L923" s="215"/>
    </row>
    <row r="924" ht="15.75" customHeight="1">
      <c r="J924" s="215"/>
      <c r="K924" s="215"/>
      <c r="L924" s="215"/>
    </row>
    <row r="925" ht="15.75" customHeight="1">
      <c r="J925" s="215"/>
      <c r="K925" s="215"/>
      <c r="L925" s="215"/>
    </row>
    <row r="926" ht="15.75" customHeight="1">
      <c r="J926" s="215"/>
      <c r="K926" s="215"/>
      <c r="L926" s="215"/>
    </row>
    <row r="927" ht="15.75" customHeight="1">
      <c r="J927" s="215"/>
      <c r="K927" s="215"/>
      <c r="L927" s="215"/>
    </row>
    <row r="928" ht="15.75" customHeight="1">
      <c r="J928" s="215"/>
      <c r="K928" s="215"/>
      <c r="L928" s="215"/>
    </row>
    <row r="929" ht="15.75" customHeight="1">
      <c r="J929" s="215"/>
      <c r="K929" s="215"/>
      <c r="L929" s="215"/>
    </row>
    <row r="930" ht="15.75" customHeight="1">
      <c r="J930" s="215"/>
      <c r="K930" s="215"/>
      <c r="L930" s="215"/>
    </row>
    <row r="931" ht="15.75" customHeight="1">
      <c r="J931" s="215"/>
      <c r="K931" s="215"/>
      <c r="L931" s="215"/>
    </row>
    <row r="932" ht="15.75" customHeight="1">
      <c r="J932" s="215"/>
      <c r="K932" s="215"/>
      <c r="L932" s="215"/>
    </row>
    <row r="933" ht="15.75" customHeight="1">
      <c r="J933" s="215"/>
      <c r="K933" s="215"/>
      <c r="L933" s="215"/>
    </row>
    <row r="934" ht="15.75" customHeight="1">
      <c r="J934" s="215"/>
      <c r="K934" s="215"/>
      <c r="L934" s="215"/>
    </row>
    <row r="935" ht="15.75" customHeight="1">
      <c r="J935" s="215"/>
      <c r="K935" s="215"/>
      <c r="L935" s="215"/>
    </row>
    <row r="936" ht="15.75" customHeight="1">
      <c r="J936" s="215"/>
      <c r="K936" s="215"/>
      <c r="L936" s="215"/>
    </row>
    <row r="937" ht="15.75" customHeight="1">
      <c r="J937" s="215"/>
      <c r="K937" s="215"/>
      <c r="L937" s="215"/>
    </row>
    <row r="938" ht="15.75" customHeight="1">
      <c r="J938" s="215"/>
      <c r="K938" s="215"/>
      <c r="L938" s="215"/>
    </row>
    <row r="939" ht="15.75" customHeight="1">
      <c r="J939" s="215"/>
      <c r="K939" s="215"/>
      <c r="L939" s="215"/>
    </row>
    <row r="940" ht="15.75" customHeight="1">
      <c r="J940" s="215"/>
      <c r="K940" s="215"/>
      <c r="L940" s="215"/>
    </row>
    <row r="941" ht="15.75" customHeight="1">
      <c r="J941" s="215"/>
      <c r="K941" s="215"/>
      <c r="L941" s="215"/>
    </row>
    <row r="942" ht="15.75" customHeight="1">
      <c r="J942" s="215"/>
      <c r="K942" s="215"/>
      <c r="L942" s="215"/>
    </row>
    <row r="943" ht="15.75" customHeight="1">
      <c r="J943" s="215"/>
      <c r="K943" s="215"/>
      <c r="L943" s="215"/>
    </row>
    <row r="944" ht="15.75" customHeight="1">
      <c r="J944" s="215"/>
      <c r="K944" s="215"/>
      <c r="L944" s="215"/>
    </row>
    <row r="945" ht="15.75" customHeight="1">
      <c r="J945" s="215"/>
      <c r="K945" s="215"/>
      <c r="L945" s="215"/>
    </row>
    <row r="946" ht="15.75" customHeight="1">
      <c r="J946" s="215"/>
      <c r="K946" s="215"/>
      <c r="L946" s="215"/>
    </row>
    <row r="947" ht="15.75" customHeight="1">
      <c r="J947" s="215"/>
      <c r="K947" s="215"/>
      <c r="L947" s="215"/>
    </row>
    <row r="948" ht="15.75" customHeight="1">
      <c r="J948" s="215"/>
      <c r="K948" s="215"/>
      <c r="L948" s="215"/>
    </row>
    <row r="949" ht="15.75" customHeight="1">
      <c r="J949" s="215"/>
      <c r="K949" s="215"/>
      <c r="L949" s="215"/>
    </row>
    <row r="950" ht="15.75" customHeight="1">
      <c r="J950" s="215"/>
      <c r="K950" s="215"/>
      <c r="L950" s="215"/>
    </row>
    <row r="951" ht="15.75" customHeight="1">
      <c r="J951" s="215"/>
      <c r="K951" s="215"/>
      <c r="L951" s="215"/>
    </row>
    <row r="952" ht="15.75" customHeight="1">
      <c r="J952" s="215"/>
      <c r="K952" s="215"/>
      <c r="L952" s="215"/>
    </row>
    <row r="953" ht="15.75" customHeight="1">
      <c r="J953" s="215"/>
      <c r="K953" s="215"/>
      <c r="L953" s="215"/>
    </row>
    <row r="954" ht="15.75" customHeight="1">
      <c r="J954" s="215"/>
      <c r="K954" s="215"/>
      <c r="L954" s="215"/>
    </row>
    <row r="955" ht="15.75" customHeight="1">
      <c r="J955" s="215"/>
      <c r="K955" s="215"/>
      <c r="L955" s="215"/>
    </row>
    <row r="956" ht="15.75" customHeight="1">
      <c r="J956" s="215"/>
      <c r="K956" s="215"/>
      <c r="L956" s="215"/>
    </row>
    <row r="957" ht="15.75" customHeight="1">
      <c r="J957" s="215"/>
      <c r="K957" s="215"/>
      <c r="L957" s="215"/>
    </row>
    <row r="958" ht="15.75" customHeight="1">
      <c r="J958" s="215"/>
      <c r="K958" s="215"/>
      <c r="L958" s="215"/>
    </row>
    <row r="959" ht="15.75" customHeight="1">
      <c r="J959" s="215"/>
      <c r="K959" s="215"/>
      <c r="L959" s="215"/>
    </row>
    <row r="960" ht="15.75" customHeight="1">
      <c r="J960" s="215"/>
      <c r="K960" s="215"/>
      <c r="L960" s="215"/>
    </row>
    <row r="961" ht="15.75" customHeight="1">
      <c r="J961" s="215"/>
      <c r="K961" s="215"/>
      <c r="L961" s="215"/>
    </row>
    <row r="962" ht="15.75" customHeight="1">
      <c r="J962" s="215"/>
      <c r="K962" s="215"/>
      <c r="L962" s="215"/>
    </row>
    <row r="963" ht="15.75" customHeight="1">
      <c r="J963" s="215"/>
      <c r="K963" s="215"/>
      <c r="L963" s="215"/>
    </row>
    <row r="964" ht="15.75" customHeight="1">
      <c r="J964" s="215"/>
      <c r="K964" s="215"/>
      <c r="L964" s="215"/>
    </row>
    <row r="965" ht="15.75" customHeight="1">
      <c r="J965" s="215"/>
      <c r="K965" s="215"/>
      <c r="L965" s="215"/>
    </row>
    <row r="966" ht="15.75" customHeight="1">
      <c r="J966" s="215"/>
      <c r="K966" s="215"/>
      <c r="L966" s="215"/>
    </row>
    <row r="967" ht="15.75" customHeight="1">
      <c r="J967" s="215"/>
      <c r="K967" s="215"/>
      <c r="L967" s="215"/>
    </row>
    <row r="968" ht="15.75" customHeight="1">
      <c r="J968" s="215"/>
      <c r="K968" s="215"/>
      <c r="L968" s="215"/>
    </row>
    <row r="969" ht="15.75" customHeight="1">
      <c r="J969" s="215"/>
      <c r="K969" s="215"/>
      <c r="L969" s="215"/>
    </row>
    <row r="970" ht="15.75" customHeight="1">
      <c r="J970" s="215"/>
      <c r="K970" s="215"/>
      <c r="L970" s="215"/>
    </row>
    <row r="971" ht="15.75" customHeight="1">
      <c r="J971" s="215"/>
      <c r="K971" s="215"/>
      <c r="L971" s="215"/>
    </row>
    <row r="972" ht="15.75" customHeight="1">
      <c r="J972" s="215"/>
      <c r="K972" s="215"/>
      <c r="L972" s="215"/>
    </row>
    <row r="973" ht="15.75" customHeight="1">
      <c r="J973" s="215"/>
      <c r="K973" s="215"/>
      <c r="L973" s="215"/>
    </row>
    <row r="974" ht="15.75" customHeight="1">
      <c r="J974" s="215"/>
      <c r="K974" s="215"/>
      <c r="L974" s="215"/>
    </row>
    <row r="975" ht="15.75" customHeight="1">
      <c r="J975" s="215"/>
      <c r="K975" s="215"/>
      <c r="L975" s="215"/>
    </row>
    <row r="976" ht="15.75" customHeight="1">
      <c r="J976" s="215"/>
      <c r="K976" s="215"/>
      <c r="L976" s="215"/>
    </row>
    <row r="977" ht="15.75" customHeight="1">
      <c r="J977" s="215"/>
      <c r="K977" s="215"/>
      <c r="L977" s="215"/>
    </row>
    <row r="978" ht="15.75" customHeight="1">
      <c r="J978" s="215"/>
      <c r="K978" s="215"/>
      <c r="L978" s="215"/>
    </row>
    <row r="979" ht="15.75" customHeight="1">
      <c r="J979" s="215"/>
      <c r="K979" s="215"/>
      <c r="L979" s="215"/>
    </row>
    <row r="980" ht="15.75" customHeight="1">
      <c r="J980" s="215"/>
      <c r="K980" s="215"/>
      <c r="L980" s="215"/>
    </row>
    <row r="981" ht="15.75" customHeight="1">
      <c r="J981" s="215"/>
      <c r="K981" s="215"/>
      <c r="L981" s="215"/>
    </row>
    <row r="982" ht="15.75" customHeight="1">
      <c r="J982" s="215"/>
      <c r="K982" s="215"/>
      <c r="L982" s="215"/>
    </row>
    <row r="983" ht="15.75" customHeight="1">
      <c r="J983" s="215"/>
      <c r="K983" s="215"/>
      <c r="L983" s="215"/>
    </row>
    <row r="984" ht="15.75" customHeight="1">
      <c r="J984" s="215"/>
      <c r="K984" s="215"/>
      <c r="L984" s="215"/>
    </row>
    <row r="985" ht="15.75" customHeight="1">
      <c r="J985" s="215"/>
      <c r="K985" s="215"/>
      <c r="L985" s="215"/>
    </row>
    <row r="986" ht="15.75" customHeight="1">
      <c r="J986" s="215"/>
      <c r="K986" s="215"/>
      <c r="L986" s="215"/>
    </row>
    <row r="987" ht="15.75" customHeight="1">
      <c r="J987" s="215"/>
      <c r="K987" s="215"/>
      <c r="L987" s="215"/>
    </row>
    <row r="988" ht="15.75" customHeight="1">
      <c r="J988" s="215"/>
      <c r="K988" s="215"/>
      <c r="L988" s="215"/>
    </row>
    <row r="989" ht="15.75" customHeight="1">
      <c r="J989" s="215"/>
      <c r="K989" s="215"/>
      <c r="L989" s="215"/>
    </row>
    <row r="990" ht="15.75" customHeight="1">
      <c r="J990" s="215"/>
      <c r="K990" s="215"/>
      <c r="L990" s="215"/>
    </row>
    <row r="991" ht="15.75" customHeight="1">
      <c r="J991" s="215"/>
      <c r="K991" s="215"/>
      <c r="L991" s="215"/>
    </row>
    <row r="992" ht="15.75" customHeight="1">
      <c r="J992" s="215"/>
      <c r="K992" s="215"/>
      <c r="L992" s="215"/>
    </row>
    <row r="993" ht="15.75" customHeight="1">
      <c r="J993" s="215"/>
      <c r="K993" s="215"/>
      <c r="L993" s="215"/>
    </row>
    <row r="994" ht="15.75" customHeight="1">
      <c r="J994" s="215"/>
      <c r="K994" s="215"/>
      <c r="L994" s="215"/>
    </row>
    <row r="995" ht="15.75" customHeight="1">
      <c r="J995" s="215"/>
      <c r="K995" s="215"/>
      <c r="L995" s="215"/>
    </row>
    <row r="996" ht="15.75" customHeight="1">
      <c r="J996" s="215"/>
      <c r="K996" s="215"/>
      <c r="L996" s="215"/>
    </row>
    <row r="997" ht="15.75" customHeight="1">
      <c r="J997" s="215"/>
      <c r="K997" s="215"/>
      <c r="L997" s="215"/>
    </row>
    <row r="998" ht="15.75" customHeight="1">
      <c r="J998" s="215"/>
      <c r="K998" s="215"/>
      <c r="L998" s="215"/>
    </row>
    <row r="999" ht="15.75" customHeight="1">
      <c r="J999" s="215"/>
      <c r="K999" s="215"/>
      <c r="L999" s="215"/>
    </row>
    <row r="1000" ht="15.75" customHeight="1">
      <c r="J1000" s="215"/>
      <c r="K1000" s="215"/>
      <c r="L1000" s="215"/>
    </row>
    <row r="1001" ht="15.75" customHeight="1">
      <c r="J1001" s="215"/>
      <c r="K1001" s="215"/>
      <c r="L1001" s="215"/>
    </row>
    <row r="1002" ht="15.75" customHeight="1">
      <c r="J1002" s="215"/>
      <c r="K1002" s="215"/>
      <c r="L1002" s="215"/>
    </row>
  </sheetData>
  <autoFilter ref="$A$4:$L$64"/>
  <mergeCells count="14">
    <mergeCell ref="A73:D73"/>
    <mergeCell ref="A75:D75"/>
    <mergeCell ref="A76:D76"/>
    <mergeCell ref="A77:D77"/>
    <mergeCell ref="A78:D78"/>
    <mergeCell ref="A79:D79"/>
    <mergeCell ref="A80:D80"/>
    <mergeCell ref="E2:K2"/>
    <mergeCell ref="A66:D66"/>
    <mergeCell ref="A67:D67"/>
    <mergeCell ref="A68:D68"/>
    <mergeCell ref="A69:D69"/>
    <mergeCell ref="A70:D70"/>
    <mergeCell ref="A71:D71"/>
  </mergeCells>
  <conditionalFormatting sqref="H64">
    <cfRule type="notContainsBlanks" dxfId="4" priority="1">
      <formula>LEN(TRIM(H64))&gt;0</formula>
    </cfRule>
  </conditionalFormatting>
  <conditionalFormatting sqref="G46 H5:H64">
    <cfRule type="cellIs" dxfId="5" priority="2" operator="lessThan">
      <formula>50</formula>
    </cfRule>
  </conditionalFormatting>
  <conditionalFormatting sqref="G46 H30:H64">
    <cfRule type="containsText" dxfId="5" priority="3" operator="containsText" text="AB">
      <formula>NOT(ISERROR(SEARCH(("AB"),(G46))))</formula>
    </cfRule>
  </conditionalFormatting>
  <conditionalFormatting sqref="H5:H29">
    <cfRule type="containsText" dxfId="5" priority="4" operator="containsText" text="AB">
      <formula>NOT(ISERROR(SEARCH(("AB"),(H5))))</formula>
    </cfRule>
  </conditionalFormatting>
  <conditionalFormatting sqref="E5:F64 H5:H64 I5:I11 I14:I18 I20:I22 I24:I39 I41:I48 I50:I60 I62:I63 J5:L64">
    <cfRule type="expression" dxfId="0" priority="5">
      <formula>E5&gt;=50</formula>
    </cfRule>
  </conditionalFormatting>
  <conditionalFormatting sqref="E5:F64 H5:H64 I5:I11 I14:I18 I20:I22 I24:I39 I41:I48 I50:I60 I62:I63 J5:L64">
    <cfRule type="expression" dxfId="3" priority="6">
      <formula>E5&lt;50</formula>
    </cfRule>
  </conditionalFormatting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6.63"/>
    <col customWidth="1" min="3" max="3" width="16.5"/>
    <col customWidth="1" min="4" max="4" width="20.5"/>
    <col customWidth="1" min="5" max="5" width="9.88"/>
    <col customWidth="1" min="6" max="6" width="11.0"/>
    <col customWidth="1" min="7" max="7" width="9.0"/>
    <col customWidth="1" min="8" max="8" width="9.25"/>
    <col customWidth="1" min="9" max="9" width="9.13"/>
  </cols>
  <sheetData>
    <row r="1" ht="15.75" customHeight="1">
      <c r="A1" s="216"/>
      <c r="B1" s="170"/>
      <c r="C1" s="217"/>
      <c r="D1" s="170"/>
      <c r="E1" s="76"/>
      <c r="F1" s="7"/>
      <c r="G1" s="7"/>
      <c r="H1" s="7"/>
      <c r="I1" s="7"/>
      <c r="J1" s="8"/>
    </row>
    <row r="2" ht="15.75" customHeight="1">
      <c r="A2" s="218">
        <v>28.0</v>
      </c>
      <c r="B2" s="219" t="s">
        <v>1</v>
      </c>
      <c r="C2" s="220" t="s">
        <v>162</v>
      </c>
      <c r="D2" s="219" t="s">
        <v>3</v>
      </c>
      <c r="E2" s="83" t="s">
        <v>5</v>
      </c>
      <c r="F2" s="84" t="s">
        <v>6</v>
      </c>
      <c r="G2" s="84" t="s">
        <v>7</v>
      </c>
      <c r="H2" s="84" t="s">
        <v>8</v>
      </c>
      <c r="I2" s="84" t="s">
        <v>9</v>
      </c>
      <c r="J2" s="84"/>
    </row>
    <row r="3" ht="15.75" customHeight="1">
      <c r="A3" s="221"/>
      <c r="B3" s="88"/>
      <c r="C3" s="88"/>
      <c r="D3" s="88"/>
      <c r="E3" s="89" t="s">
        <v>422</v>
      </c>
      <c r="F3" s="90" t="s">
        <v>423</v>
      </c>
      <c r="G3" s="90" t="s">
        <v>424</v>
      </c>
      <c r="H3" s="90" t="s">
        <v>425</v>
      </c>
      <c r="I3" s="90" t="s">
        <v>426</v>
      </c>
      <c r="J3" s="90"/>
    </row>
    <row r="4" ht="15.75" customHeight="1">
      <c r="A4" s="154">
        <v>1.0</v>
      </c>
      <c r="B4" s="155">
        <v>8733.0</v>
      </c>
      <c r="C4" s="222">
        <v>9.11722104006E11</v>
      </c>
      <c r="D4" s="157" t="s">
        <v>427</v>
      </c>
      <c r="E4" s="223"/>
      <c r="F4" s="223">
        <v>26.0</v>
      </c>
      <c r="G4" s="98"/>
      <c r="H4" s="98">
        <v>27.0</v>
      </c>
      <c r="I4" s="224"/>
      <c r="J4" s="188"/>
      <c r="K4" s="225">
        <f t="shared" ref="K4:K64" si="1">COUNTIF(E4:J4,"AB")+COUNTIF(E4:J4,"&lt;50")</f>
        <v>2</v>
      </c>
    </row>
    <row r="5" ht="15.75" customHeight="1">
      <c r="A5" s="154">
        <v>2.0</v>
      </c>
      <c r="B5" s="155">
        <v>8843.0</v>
      </c>
      <c r="C5" s="222">
        <v>9.11722104007E11</v>
      </c>
      <c r="D5" s="157" t="s">
        <v>428</v>
      </c>
      <c r="E5" s="226"/>
      <c r="F5" s="223">
        <v>61.0</v>
      </c>
      <c r="G5" s="98"/>
      <c r="H5" s="98">
        <v>72.0</v>
      </c>
      <c r="I5" s="98"/>
      <c r="J5" s="188"/>
      <c r="K5" s="225">
        <f t="shared" si="1"/>
        <v>0</v>
      </c>
    </row>
    <row r="6" ht="15.75" customHeight="1">
      <c r="A6" s="154">
        <v>3.0</v>
      </c>
      <c r="B6" s="155">
        <v>8731.0</v>
      </c>
      <c r="C6" s="222">
        <v>9.11722104011E11</v>
      </c>
      <c r="D6" s="157" t="s">
        <v>429</v>
      </c>
      <c r="E6" s="226"/>
      <c r="F6" s="223" t="s">
        <v>27</v>
      </c>
      <c r="G6" s="98"/>
      <c r="H6" s="98">
        <v>92.0</v>
      </c>
      <c r="I6" s="98"/>
      <c r="J6" s="188"/>
      <c r="K6" s="225">
        <f t="shared" si="1"/>
        <v>1</v>
      </c>
    </row>
    <row r="7" ht="15.75" customHeight="1">
      <c r="A7" s="154">
        <v>4.0</v>
      </c>
      <c r="B7" s="155">
        <v>8683.0</v>
      </c>
      <c r="C7" s="222">
        <v>9.11722104012E11</v>
      </c>
      <c r="D7" s="157" t="s">
        <v>430</v>
      </c>
      <c r="E7" s="226"/>
      <c r="F7" s="98">
        <v>62.0</v>
      </c>
      <c r="G7" s="98"/>
      <c r="H7" s="98">
        <v>92.0</v>
      </c>
      <c r="I7" s="98"/>
      <c r="J7" s="188"/>
      <c r="K7" s="225">
        <f t="shared" si="1"/>
        <v>0</v>
      </c>
    </row>
    <row r="8" ht="15.75" customHeight="1">
      <c r="A8" s="154">
        <v>5.0</v>
      </c>
      <c r="B8" s="155">
        <v>8809.0</v>
      </c>
      <c r="C8" s="222">
        <v>9.11722104013E11</v>
      </c>
      <c r="D8" s="157" t="s">
        <v>431</v>
      </c>
      <c r="E8" s="227"/>
      <c r="F8" s="98">
        <v>63.0</v>
      </c>
      <c r="G8" s="98"/>
      <c r="H8" s="98">
        <v>62.0</v>
      </c>
      <c r="I8" s="224"/>
      <c r="J8" s="188"/>
      <c r="K8" s="225">
        <f t="shared" si="1"/>
        <v>0</v>
      </c>
    </row>
    <row r="9" ht="15.75" customHeight="1">
      <c r="A9" s="154">
        <v>6.0</v>
      </c>
      <c r="B9" s="155">
        <v>8801.0</v>
      </c>
      <c r="C9" s="222">
        <v>9.11722104015E11</v>
      </c>
      <c r="D9" s="157" t="s">
        <v>432</v>
      </c>
      <c r="E9" s="227"/>
      <c r="F9" s="223" t="s">
        <v>27</v>
      </c>
      <c r="G9" s="98"/>
      <c r="H9" s="98">
        <v>32.0</v>
      </c>
      <c r="I9" s="224"/>
      <c r="J9" s="188"/>
      <c r="K9" s="225">
        <f t="shared" si="1"/>
        <v>2</v>
      </c>
    </row>
    <row r="10" ht="15.75" customHeight="1">
      <c r="A10" s="154">
        <v>7.0</v>
      </c>
      <c r="B10" s="155">
        <v>8862.0</v>
      </c>
      <c r="C10" s="222">
        <v>9.11722104016E11</v>
      </c>
      <c r="D10" s="157" t="s">
        <v>433</v>
      </c>
      <c r="E10" s="226">
        <v>49.0</v>
      </c>
      <c r="F10" s="224">
        <v>63.0</v>
      </c>
      <c r="G10" s="98"/>
      <c r="H10" s="98">
        <v>92.0</v>
      </c>
      <c r="I10" s="224"/>
      <c r="J10" s="188"/>
      <c r="K10" s="225">
        <f t="shared" si="1"/>
        <v>1</v>
      </c>
    </row>
    <row r="11" ht="15.75" customHeight="1">
      <c r="A11" s="154">
        <v>8.0</v>
      </c>
      <c r="B11" s="155">
        <v>8919.0</v>
      </c>
      <c r="C11" s="222">
        <v>9.11722104019E11</v>
      </c>
      <c r="D11" s="157" t="s">
        <v>434</v>
      </c>
      <c r="E11" s="226"/>
      <c r="F11" s="224">
        <v>71.0</v>
      </c>
      <c r="G11" s="98"/>
      <c r="H11" s="98">
        <v>92.0</v>
      </c>
      <c r="I11" s="224"/>
      <c r="J11" s="188"/>
      <c r="K11" s="225">
        <f t="shared" si="1"/>
        <v>0</v>
      </c>
    </row>
    <row r="12" ht="15.75" customHeight="1">
      <c r="A12" s="154">
        <v>9.0</v>
      </c>
      <c r="B12" s="155">
        <v>8730.0</v>
      </c>
      <c r="C12" s="222">
        <v>9.11722104021E11</v>
      </c>
      <c r="D12" s="157" t="s">
        <v>435</v>
      </c>
      <c r="E12" s="226"/>
      <c r="F12" s="98" t="s">
        <v>27</v>
      </c>
      <c r="G12" s="98"/>
      <c r="H12" s="98">
        <v>88.0</v>
      </c>
      <c r="I12" s="98"/>
      <c r="J12" s="188"/>
      <c r="K12" s="225">
        <f t="shared" si="1"/>
        <v>1</v>
      </c>
    </row>
    <row r="13" ht="15.75" customHeight="1">
      <c r="A13" s="154">
        <v>10.0</v>
      </c>
      <c r="B13" s="155">
        <v>8819.0</v>
      </c>
      <c r="C13" s="222">
        <v>9.11722104022E11</v>
      </c>
      <c r="D13" s="157" t="s">
        <v>436</v>
      </c>
      <c r="E13" s="228"/>
      <c r="F13" s="223">
        <v>61.0</v>
      </c>
      <c r="G13" s="98"/>
      <c r="H13" s="98">
        <v>50.0</v>
      </c>
      <c r="I13" s="98"/>
      <c r="J13" s="188"/>
      <c r="K13" s="225">
        <f t="shared" si="1"/>
        <v>0</v>
      </c>
    </row>
    <row r="14" ht="15.75" customHeight="1">
      <c r="A14" s="154">
        <v>11.0</v>
      </c>
      <c r="B14" s="155">
        <v>8740.0</v>
      </c>
      <c r="C14" s="222">
        <v>9.11722104023E11</v>
      </c>
      <c r="D14" s="157" t="s">
        <v>437</v>
      </c>
      <c r="E14" s="226"/>
      <c r="F14" s="98">
        <v>64.0</v>
      </c>
      <c r="G14" s="98"/>
      <c r="H14" s="98">
        <v>70.0</v>
      </c>
      <c r="I14" s="224"/>
      <c r="J14" s="188"/>
      <c r="K14" s="225">
        <f t="shared" si="1"/>
        <v>0</v>
      </c>
    </row>
    <row r="15" ht="15.75" customHeight="1">
      <c r="A15" s="154">
        <v>12.0</v>
      </c>
      <c r="B15" s="155">
        <v>8907.0</v>
      </c>
      <c r="C15" s="222">
        <v>9.11722104025E11</v>
      </c>
      <c r="D15" s="157" t="s">
        <v>438</v>
      </c>
      <c r="E15" s="226"/>
      <c r="F15" s="223">
        <v>59.0</v>
      </c>
      <c r="G15" s="98"/>
      <c r="H15" s="98" t="s">
        <v>27</v>
      </c>
      <c r="I15" s="98"/>
      <c r="J15" s="188"/>
      <c r="K15" s="225">
        <f t="shared" si="1"/>
        <v>1</v>
      </c>
    </row>
    <row r="16" ht="15.75" customHeight="1">
      <c r="A16" s="154">
        <v>13.0</v>
      </c>
      <c r="B16" s="155">
        <v>9050.0</v>
      </c>
      <c r="C16" s="222">
        <v>9.11722104026E11</v>
      </c>
      <c r="D16" s="157" t="s">
        <v>439</v>
      </c>
      <c r="E16" s="226">
        <v>48.0</v>
      </c>
      <c r="F16" s="98">
        <v>71.0</v>
      </c>
      <c r="G16" s="98"/>
      <c r="H16" s="98">
        <v>88.0</v>
      </c>
      <c r="I16" s="224"/>
      <c r="J16" s="188"/>
      <c r="K16" s="225">
        <f t="shared" si="1"/>
        <v>1</v>
      </c>
    </row>
    <row r="17" ht="15.75" customHeight="1">
      <c r="A17" s="154">
        <v>14.0</v>
      </c>
      <c r="B17" s="155">
        <v>8662.0</v>
      </c>
      <c r="C17" s="222">
        <v>9.11722104027E11</v>
      </c>
      <c r="D17" s="157" t="s">
        <v>440</v>
      </c>
      <c r="E17" s="226"/>
      <c r="F17" s="98">
        <v>72.0</v>
      </c>
      <c r="G17" s="98"/>
      <c r="H17" s="98">
        <v>66.0</v>
      </c>
      <c r="I17" s="224"/>
      <c r="J17" s="188"/>
      <c r="K17" s="225">
        <f t="shared" si="1"/>
        <v>0</v>
      </c>
    </row>
    <row r="18" ht="15.75" customHeight="1">
      <c r="A18" s="154">
        <v>15.0</v>
      </c>
      <c r="B18" s="155">
        <v>9049.0</v>
      </c>
      <c r="C18" s="222">
        <v>9.11722104029E11</v>
      </c>
      <c r="D18" s="157" t="s">
        <v>441</v>
      </c>
      <c r="E18" s="226">
        <v>40.0</v>
      </c>
      <c r="F18" s="98" t="s">
        <v>27</v>
      </c>
      <c r="G18" s="98"/>
      <c r="H18" s="98">
        <v>84.0</v>
      </c>
      <c r="I18" s="98"/>
      <c r="J18" s="188"/>
      <c r="K18" s="225">
        <f t="shared" si="1"/>
        <v>2</v>
      </c>
    </row>
    <row r="19" ht="15.75" customHeight="1">
      <c r="A19" s="154">
        <v>16.0</v>
      </c>
      <c r="B19" s="155">
        <v>8823.0</v>
      </c>
      <c r="C19" s="222">
        <v>9.1172210403E11</v>
      </c>
      <c r="D19" s="157" t="s">
        <v>442</v>
      </c>
      <c r="E19" s="227"/>
      <c r="F19" s="224">
        <v>69.0</v>
      </c>
      <c r="G19" s="98"/>
      <c r="H19" s="98">
        <v>68.0</v>
      </c>
      <c r="I19" s="98"/>
      <c r="J19" s="188"/>
      <c r="K19" s="225">
        <f t="shared" si="1"/>
        <v>0</v>
      </c>
    </row>
    <row r="20" ht="15.75" customHeight="1">
      <c r="A20" s="154">
        <v>17.0</v>
      </c>
      <c r="B20" s="155">
        <v>8746.0</v>
      </c>
      <c r="C20" s="222">
        <v>9.11722104031E11</v>
      </c>
      <c r="D20" s="157" t="s">
        <v>443</v>
      </c>
      <c r="E20" s="226">
        <v>47.0</v>
      </c>
      <c r="F20" s="98">
        <v>78.0</v>
      </c>
      <c r="G20" s="98"/>
      <c r="H20" s="98">
        <v>80.0</v>
      </c>
      <c r="I20" s="224"/>
      <c r="J20" s="188"/>
      <c r="K20" s="225">
        <f t="shared" si="1"/>
        <v>1</v>
      </c>
    </row>
    <row r="21" ht="15.75" customHeight="1">
      <c r="A21" s="154">
        <v>18.0</v>
      </c>
      <c r="B21" s="155">
        <v>8780.0</v>
      </c>
      <c r="C21" s="222">
        <v>9.11722104032E11</v>
      </c>
      <c r="D21" s="157" t="s">
        <v>444</v>
      </c>
      <c r="E21" s="228"/>
      <c r="F21" s="223">
        <v>62.0</v>
      </c>
      <c r="G21" s="98"/>
      <c r="H21" s="98">
        <v>21.0</v>
      </c>
      <c r="I21" s="224"/>
      <c r="J21" s="188"/>
      <c r="K21" s="225">
        <f t="shared" si="1"/>
        <v>1</v>
      </c>
    </row>
    <row r="22" ht="15.75" customHeight="1">
      <c r="A22" s="154">
        <v>19.0</v>
      </c>
      <c r="B22" s="155">
        <v>8810.0</v>
      </c>
      <c r="C22" s="222">
        <v>9.11722104034E11</v>
      </c>
      <c r="D22" s="157" t="s">
        <v>445</v>
      </c>
      <c r="E22" s="226"/>
      <c r="F22" s="224">
        <v>31.0</v>
      </c>
      <c r="G22" s="98"/>
      <c r="H22" s="98" t="s">
        <v>27</v>
      </c>
      <c r="I22" s="224"/>
      <c r="J22" s="188"/>
      <c r="K22" s="225">
        <f t="shared" si="1"/>
        <v>2</v>
      </c>
    </row>
    <row r="23" ht="15.75" customHeight="1">
      <c r="A23" s="154">
        <v>20.0</v>
      </c>
      <c r="B23" s="155">
        <v>8672.0</v>
      </c>
      <c r="C23" s="222">
        <v>9.11722104036E11</v>
      </c>
      <c r="D23" s="157" t="s">
        <v>446</v>
      </c>
      <c r="E23" s="226">
        <v>51.0</v>
      </c>
      <c r="F23" s="224" t="s">
        <v>27</v>
      </c>
      <c r="G23" s="98"/>
      <c r="H23" s="98">
        <v>80.0</v>
      </c>
      <c r="I23" s="224"/>
      <c r="J23" s="188"/>
      <c r="K23" s="225">
        <f t="shared" si="1"/>
        <v>1</v>
      </c>
    </row>
    <row r="24" ht="15.75" customHeight="1">
      <c r="A24" s="154">
        <v>21.0</v>
      </c>
      <c r="B24" s="155">
        <v>8879.0</v>
      </c>
      <c r="C24" s="222">
        <v>9.11722104039E11</v>
      </c>
      <c r="D24" s="157" t="s">
        <v>447</v>
      </c>
      <c r="E24" s="226"/>
      <c r="F24" s="223">
        <v>24.0</v>
      </c>
      <c r="G24" s="98"/>
      <c r="H24" s="98">
        <v>64.0</v>
      </c>
      <c r="I24" s="224"/>
      <c r="J24" s="188"/>
      <c r="K24" s="225">
        <f t="shared" si="1"/>
        <v>1</v>
      </c>
    </row>
    <row r="25" ht="15.75" customHeight="1">
      <c r="A25" s="154">
        <v>22.0</v>
      </c>
      <c r="B25" s="155">
        <v>8787.0</v>
      </c>
      <c r="C25" s="222">
        <v>9.1172210404E11</v>
      </c>
      <c r="D25" s="157" t="s">
        <v>447</v>
      </c>
      <c r="E25" s="226"/>
      <c r="F25" s="224">
        <v>29.0</v>
      </c>
      <c r="G25" s="98"/>
      <c r="H25" s="98">
        <v>44.0</v>
      </c>
      <c r="I25" s="224"/>
      <c r="J25" s="188"/>
      <c r="K25" s="225">
        <f t="shared" si="1"/>
        <v>2</v>
      </c>
    </row>
    <row r="26" ht="15.75" customHeight="1">
      <c r="A26" s="154">
        <v>23.0</v>
      </c>
      <c r="B26" s="155">
        <v>9031.0</v>
      </c>
      <c r="C26" s="222">
        <v>9.11722104042E11</v>
      </c>
      <c r="D26" s="157" t="s">
        <v>448</v>
      </c>
      <c r="E26" s="226"/>
      <c r="F26" s="98">
        <v>81.0</v>
      </c>
      <c r="G26" s="98"/>
      <c r="H26" s="98">
        <v>76.0</v>
      </c>
      <c r="I26" s="98"/>
      <c r="J26" s="188"/>
      <c r="K26" s="225">
        <f t="shared" si="1"/>
        <v>0</v>
      </c>
    </row>
    <row r="27" ht="15.75" customHeight="1">
      <c r="A27" s="154">
        <v>24.0</v>
      </c>
      <c r="B27" s="155">
        <v>9009.0</v>
      </c>
      <c r="C27" s="222">
        <v>9.11722104046E11</v>
      </c>
      <c r="D27" s="157" t="s">
        <v>449</v>
      </c>
      <c r="E27" s="226"/>
      <c r="F27" s="98" t="s">
        <v>27</v>
      </c>
      <c r="G27" s="98"/>
      <c r="H27" s="98">
        <v>80.0</v>
      </c>
      <c r="I27" s="98"/>
      <c r="J27" s="188"/>
      <c r="K27" s="225">
        <f t="shared" si="1"/>
        <v>1</v>
      </c>
    </row>
    <row r="28" ht="15.75" customHeight="1">
      <c r="A28" s="154">
        <v>25.0</v>
      </c>
      <c r="B28" s="155">
        <v>8851.0</v>
      </c>
      <c r="C28" s="222">
        <v>9.11722104049E11</v>
      </c>
      <c r="D28" s="157" t="s">
        <v>450</v>
      </c>
      <c r="E28" s="226"/>
      <c r="F28" s="223">
        <v>58.0</v>
      </c>
      <c r="G28" s="98"/>
      <c r="H28" s="98">
        <v>77.0</v>
      </c>
      <c r="I28" s="224"/>
      <c r="J28" s="188"/>
      <c r="K28" s="225">
        <f t="shared" si="1"/>
        <v>0</v>
      </c>
    </row>
    <row r="29" ht="15.75" customHeight="1">
      <c r="A29" s="154">
        <v>26.0</v>
      </c>
      <c r="B29" s="155">
        <v>8728.0</v>
      </c>
      <c r="C29" s="222">
        <v>9.11722104052E11</v>
      </c>
      <c r="D29" s="157" t="s">
        <v>451</v>
      </c>
      <c r="E29" s="226"/>
      <c r="F29" s="224">
        <v>68.0</v>
      </c>
      <c r="G29" s="98"/>
      <c r="H29" s="98">
        <v>88.0</v>
      </c>
      <c r="I29" s="98"/>
      <c r="J29" s="188"/>
      <c r="K29" s="225">
        <f t="shared" si="1"/>
        <v>0</v>
      </c>
    </row>
    <row r="30" ht="15.75" customHeight="1">
      <c r="A30" s="154">
        <v>27.0</v>
      </c>
      <c r="B30" s="155">
        <v>8748.0</v>
      </c>
      <c r="C30" s="222">
        <v>9.11722104053E11</v>
      </c>
      <c r="D30" s="157" t="s">
        <v>452</v>
      </c>
      <c r="E30" s="226"/>
      <c r="F30" s="98">
        <v>62.0</v>
      </c>
      <c r="G30" s="98"/>
      <c r="H30" s="98">
        <v>93.0</v>
      </c>
      <c r="I30" s="98"/>
      <c r="J30" s="188"/>
      <c r="K30" s="225">
        <f t="shared" si="1"/>
        <v>0</v>
      </c>
    </row>
    <row r="31" ht="15.75" customHeight="1">
      <c r="A31" s="154">
        <v>28.0</v>
      </c>
      <c r="B31" s="155">
        <v>8736.0</v>
      </c>
      <c r="C31" s="222">
        <v>9.11722104054E11</v>
      </c>
      <c r="D31" s="157" t="s">
        <v>453</v>
      </c>
      <c r="E31" s="227"/>
      <c r="F31" s="223">
        <v>28.0</v>
      </c>
      <c r="G31" s="98"/>
      <c r="H31" s="98">
        <v>16.0</v>
      </c>
      <c r="I31" s="224"/>
      <c r="J31" s="188"/>
      <c r="K31" s="225">
        <f t="shared" si="1"/>
        <v>2</v>
      </c>
    </row>
    <row r="32" ht="15.75" customHeight="1">
      <c r="A32" s="154">
        <v>29.0</v>
      </c>
      <c r="B32" s="155">
        <v>8673.0</v>
      </c>
      <c r="C32" s="222">
        <v>9.11722104058E11</v>
      </c>
      <c r="D32" s="157" t="s">
        <v>454</v>
      </c>
      <c r="E32" s="226"/>
      <c r="F32" s="224">
        <v>85.0</v>
      </c>
      <c r="G32" s="98"/>
      <c r="H32" s="223">
        <v>88.0</v>
      </c>
      <c r="I32" s="98"/>
      <c r="J32" s="188"/>
      <c r="K32" s="225">
        <f t="shared" si="1"/>
        <v>0</v>
      </c>
    </row>
    <row r="33" ht="15.75" customHeight="1">
      <c r="A33" s="154">
        <v>30.0</v>
      </c>
      <c r="B33" s="155">
        <v>8770.0</v>
      </c>
      <c r="C33" s="222">
        <v>9.11722104059E11</v>
      </c>
      <c r="D33" s="157" t="s">
        <v>455</v>
      </c>
      <c r="E33" s="226">
        <v>45.0</v>
      </c>
      <c r="F33" s="98">
        <v>88.0</v>
      </c>
      <c r="G33" s="98"/>
      <c r="H33" s="98">
        <v>94.0</v>
      </c>
      <c r="I33" s="98"/>
      <c r="J33" s="188"/>
      <c r="K33" s="225">
        <f t="shared" si="1"/>
        <v>1</v>
      </c>
    </row>
    <row r="34" ht="15.75" customHeight="1">
      <c r="A34" s="154">
        <v>31.0</v>
      </c>
      <c r="B34" s="155">
        <v>8643.0</v>
      </c>
      <c r="C34" s="222">
        <v>9.1172210406E11</v>
      </c>
      <c r="D34" s="157" t="s">
        <v>456</v>
      </c>
      <c r="E34" s="226"/>
      <c r="F34" s="223">
        <v>81.0</v>
      </c>
      <c r="G34" s="98"/>
      <c r="H34" s="98">
        <v>93.0</v>
      </c>
      <c r="I34" s="98"/>
      <c r="J34" s="188"/>
      <c r="K34" s="225">
        <f t="shared" si="1"/>
        <v>0</v>
      </c>
    </row>
    <row r="35" ht="15.75" customHeight="1">
      <c r="A35" s="154">
        <v>32.0</v>
      </c>
      <c r="B35" s="155">
        <v>8831.0</v>
      </c>
      <c r="C35" s="222">
        <v>9.11722104063E11</v>
      </c>
      <c r="D35" s="157" t="s">
        <v>457</v>
      </c>
      <c r="E35" s="226"/>
      <c r="F35" s="98" t="s">
        <v>27</v>
      </c>
      <c r="G35" s="98"/>
      <c r="H35" s="98">
        <v>91.0</v>
      </c>
      <c r="I35" s="98"/>
      <c r="J35" s="188"/>
      <c r="K35" s="225">
        <f t="shared" si="1"/>
        <v>1</v>
      </c>
    </row>
    <row r="36" ht="15.75" customHeight="1">
      <c r="A36" s="154">
        <v>33.0</v>
      </c>
      <c r="B36" s="155">
        <v>8888.0</v>
      </c>
      <c r="C36" s="222">
        <v>9.1172210407E11</v>
      </c>
      <c r="D36" s="157" t="s">
        <v>458</v>
      </c>
      <c r="E36" s="226"/>
      <c r="F36" s="98" t="s">
        <v>27</v>
      </c>
      <c r="G36" s="98"/>
      <c r="H36" s="98">
        <v>86.0</v>
      </c>
      <c r="I36" s="98"/>
      <c r="J36" s="188"/>
      <c r="K36" s="225">
        <f t="shared" si="1"/>
        <v>1</v>
      </c>
    </row>
    <row r="37" ht="15.75" customHeight="1">
      <c r="A37" s="154">
        <v>34.0</v>
      </c>
      <c r="B37" s="155">
        <v>8882.0</v>
      </c>
      <c r="C37" s="222">
        <v>9.11722104071E11</v>
      </c>
      <c r="D37" s="157" t="s">
        <v>459</v>
      </c>
      <c r="E37" s="226"/>
      <c r="F37" s="224" t="s">
        <v>27</v>
      </c>
      <c r="G37" s="98"/>
      <c r="H37" s="98" t="s">
        <v>27</v>
      </c>
      <c r="I37" s="98"/>
      <c r="J37" s="188"/>
      <c r="K37" s="225">
        <f t="shared" si="1"/>
        <v>2</v>
      </c>
    </row>
    <row r="38" ht="15.75" customHeight="1">
      <c r="A38" s="154">
        <v>35.0</v>
      </c>
      <c r="B38" s="155">
        <v>9047.0</v>
      </c>
      <c r="C38" s="222">
        <v>9.11722104072E11</v>
      </c>
      <c r="D38" s="157" t="s">
        <v>460</v>
      </c>
      <c r="E38" s="226"/>
      <c r="F38" s="223">
        <v>72.0</v>
      </c>
      <c r="G38" s="98"/>
      <c r="H38" s="98">
        <v>92.0</v>
      </c>
      <c r="I38" s="98"/>
      <c r="J38" s="188"/>
      <c r="K38" s="225">
        <f t="shared" si="1"/>
        <v>0</v>
      </c>
    </row>
    <row r="39" ht="15.75" customHeight="1">
      <c r="A39" s="154">
        <v>36.0</v>
      </c>
      <c r="B39" s="155">
        <v>8803.0</v>
      </c>
      <c r="C39" s="222">
        <v>9.11722104073E11</v>
      </c>
      <c r="D39" s="157" t="s">
        <v>461</v>
      </c>
      <c r="E39" s="226"/>
      <c r="F39" s="98">
        <v>78.0</v>
      </c>
      <c r="G39" s="98"/>
      <c r="H39" s="98">
        <v>87.0</v>
      </c>
      <c r="I39" s="224"/>
      <c r="J39" s="188"/>
      <c r="K39" s="225">
        <f t="shared" si="1"/>
        <v>0</v>
      </c>
    </row>
    <row r="40" ht="15.75" customHeight="1">
      <c r="A40" s="154">
        <v>37.0</v>
      </c>
      <c r="B40" s="155">
        <v>9087.0</v>
      </c>
      <c r="C40" s="222">
        <v>9.11722104075E11</v>
      </c>
      <c r="D40" s="157" t="s">
        <v>462</v>
      </c>
      <c r="E40" s="228"/>
      <c r="F40" s="223">
        <v>64.0</v>
      </c>
      <c r="G40" s="98"/>
      <c r="H40" s="98">
        <v>72.0</v>
      </c>
      <c r="I40" s="224"/>
      <c r="J40" s="188"/>
      <c r="K40" s="225">
        <f t="shared" si="1"/>
        <v>0</v>
      </c>
    </row>
    <row r="41" ht="15.75" customHeight="1">
      <c r="A41" s="154">
        <v>38.0</v>
      </c>
      <c r="B41" s="155">
        <v>8737.0</v>
      </c>
      <c r="C41" s="222">
        <v>9.11722104076E11</v>
      </c>
      <c r="D41" s="157" t="s">
        <v>463</v>
      </c>
      <c r="E41" s="228"/>
      <c r="F41" s="223" t="s">
        <v>27</v>
      </c>
      <c r="G41" s="98"/>
      <c r="H41" s="98">
        <v>30.0</v>
      </c>
      <c r="I41" s="224"/>
      <c r="J41" s="188"/>
      <c r="K41" s="225">
        <f t="shared" si="1"/>
        <v>2</v>
      </c>
    </row>
    <row r="42" ht="15.75" customHeight="1">
      <c r="A42" s="154">
        <v>39.0</v>
      </c>
      <c r="B42" s="155">
        <v>8743.0</v>
      </c>
      <c r="C42" s="222">
        <v>9.11722104077E11</v>
      </c>
      <c r="D42" s="157" t="s">
        <v>464</v>
      </c>
      <c r="E42" s="228"/>
      <c r="F42" s="223">
        <v>38.0</v>
      </c>
      <c r="G42" s="98"/>
      <c r="H42" s="98">
        <v>60.0</v>
      </c>
      <c r="I42" s="98"/>
      <c r="J42" s="188"/>
      <c r="K42" s="225">
        <f t="shared" si="1"/>
        <v>1</v>
      </c>
    </row>
    <row r="43" ht="15.75" customHeight="1">
      <c r="A43" s="154">
        <v>40.0</v>
      </c>
      <c r="B43" s="155">
        <v>8754.0</v>
      </c>
      <c r="C43" s="222">
        <v>9.11722104078E11</v>
      </c>
      <c r="D43" s="157" t="s">
        <v>465</v>
      </c>
      <c r="E43" s="228"/>
      <c r="F43" s="223" t="s">
        <v>27</v>
      </c>
      <c r="G43" s="98"/>
      <c r="H43" s="223">
        <v>65.0</v>
      </c>
      <c r="I43" s="223"/>
      <c r="J43" s="188"/>
      <c r="K43" s="225">
        <f t="shared" si="1"/>
        <v>1</v>
      </c>
    </row>
    <row r="44" ht="15.75" customHeight="1">
      <c r="A44" s="154">
        <v>41.0</v>
      </c>
      <c r="B44" s="155">
        <v>8897.0</v>
      </c>
      <c r="C44" s="222">
        <v>9.11722104079E11</v>
      </c>
      <c r="D44" s="157" t="s">
        <v>466</v>
      </c>
      <c r="E44" s="226"/>
      <c r="F44" s="98">
        <v>78.0</v>
      </c>
      <c r="G44" s="98"/>
      <c r="H44" s="98">
        <v>83.0</v>
      </c>
      <c r="I44" s="98"/>
      <c r="J44" s="188"/>
      <c r="K44" s="225">
        <f t="shared" si="1"/>
        <v>0</v>
      </c>
    </row>
    <row r="45" ht="15.75" customHeight="1">
      <c r="A45" s="154">
        <v>42.0</v>
      </c>
      <c r="B45" s="155">
        <v>8645.0</v>
      </c>
      <c r="C45" s="222">
        <v>9.11722104083E11</v>
      </c>
      <c r="D45" s="157" t="s">
        <v>467</v>
      </c>
      <c r="E45" s="227"/>
      <c r="F45" s="224">
        <v>69.0</v>
      </c>
      <c r="G45" s="98"/>
      <c r="H45" s="98">
        <v>24.0</v>
      </c>
      <c r="I45" s="98"/>
      <c r="J45" s="188"/>
      <c r="K45" s="225">
        <f t="shared" si="1"/>
        <v>1</v>
      </c>
    </row>
    <row r="46" ht="15.75" customHeight="1">
      <c r="A46" s="154">
        <v>43.0</v>
      </c>
      <c r="B46" s="155">
        <v>8739.0</v>
      </c>
      <c r="C46" s="222">
        <v>9.11722104084E11</v>
      </c>
      <c r="D46" s="157" t="s">
        <v>468</v>
      </c>
      <c r="E46" s="226"/>
      <c r="F46" s="223">
        <v>72.0</v>
      </c>
      <c r="G46" s="98"/>
      <c r="H46" s="98">
        <v>82.0</v>
      </c>
      <c r="I46" s="98"/>
      <c r="J46" s="188"/>
      <c r="K46" s="225">
        <f t="shared" si="1"/>
        <v>0</v>
      </c>
    </row>
    <row r="47" ht="15.75" customHeight="1">
      <c r="A47" s="154">
        <v>44.0</v>
      </c>
      <c r="B47" s="155">
        <v>8648.0</v>
      </c>
      <c r="C47" s="222">
        <v>9.11722104086E11</v>
      </c>
      <c r="D47" s="157" t="s">
        <v>469</v>
      </c>
      <c r="E47" s="228"/>
      <c r="F47" s="223">
        <v>39.0</v>
      </c>
      <c r="G47" s="98"/>
      <c r="H47" s="98">
        <v>42.0</v>
      </c>
      <c r="I47" s="224"/>
      <c r="J47" s="188"/>
      <c r="K47" s="225">
        <f t="shared" si="1"/>
        <v>2</v>
      </c>
    </row>
    <row r="48" ht="15.75" customHeight="1">
      <c r="A48" s="154">
        <v>45.0</v>
      </c>
      <c r="B48" s="155">
        <v>8997.0</v>
      </c>
      <c r="C48" s="222">
        <v>9.11722104088E11</v>
      </c>
      <c r="D48" s="157" t="s">
        <v>375</v>
      </c>
      <c r="E48" s="226"/>
      <c r="F48" s="98" t="s">
        <v>27</v>
      </c>
      <c r="G48" s="98"/>
      <c r="H48" s="223">
        <v>93.0</v>
      </c>
      <c r="I48" s="224"/>
      <c r="J48" s="188"/>
      <c r="K48" s="225">
        <f t="shared" si="1"/>
        <v>1</v>
      </c>
    </row>
    <row r="49" ht="15.75" customHeight="1">
      <c r="A49" s="154">
        <v>46.0</v>
      </c>
      <c r="B49" s="155">
        <v>9003.0</v>
      </c>
      <c r="C49" s="222">
        <v>9.1172210409E11</v>
      </c>
      <c r="D49" s="157" t="s">
        <v>470</v>
      </c>
      <c r="E49" s="226"/>
      <c r="F49" s="98" t="s">
        <v>27</v>
      </c>
      <c r="G49" s="98"/>
      <c r="H49" s="98">
        <v>86.0</v>
      </c>
      <c r="I49" s="98"/>
      <c r="J49" s="188"/>
      <c r="K49" s="225">
        <f t="shared" si="1"/>
        <v>1</v>
      </c>
    </row>
    <row r="50" ht="15.75" customHeight="1">
      <c r="A50" s="154">
        <v>47.0</v>
      </c>
      <c r="B50" s="155">
        <v>9089.0</v>
      </c>
      <c r="C50" s="222">
        <v>9.11722104093E11</v>
      </c>
      <c r="D50" s="157" t="s">
        <v>471</v>
      </c>
      <c r="E50" s="228"/>
      <c r="F50" s="223" t="s">
        <v>27</v>
      </c>
      <c r="G50" s="98"/>
      <c r="H50" s="223">
        <v>75.0</v>
      </c>
      <c r="I50" s="98"/>
      <c r="J50" s="188"/>
      <c r="K50" s="225">
        <f t="shared" si="1"/>
        <v>1</v>
      </c>
    </row>
    <row r="51" ht="15.75" customHeight="1">
      <c r="A51" s="154">
        <v>48.0</v>
      </c>
      <c r="B51" s="155">
        <v>9020.0</v>
      </c>
      <c r="C51" s="222">
        <v>9.11722104095E11</v>
      </c>
      <c r="D51" s="157" t="s">
        <v>472</v>
      </c>
      <c r="E51" s="227"/>
      <c r="F51" s="224" t="s">
        <v>27</v>
      </c>
      <c r="G51" s="98"/>
      <c r="H51" s="98">
        <v>76.0</v>
      </c>
      <c r="I51" s="224"/>
      <c r="J51" s="188"/>
      <c r="K51" s="225">
        <f t="shared" si="1"/>
        <v>1</v>
      </c>
    </row>
    <row r="52" ht="15.75" customHeight="1">
      <c r="A52" s="154">
        <v>49.0</v>
      </c>
      <c r="B52" s="155">
        <v>8775.0</v>
      </c>
      <c r="C52" s="222">
        <v>9.11722104096E11</v>
      </c>
      <c r="D52" s="157" t="s">
        <v>473</v>
      </c>
      <c r="E52" s="227"/>
      <c r="F52" s="223">
        <v>69.0</v>
      </c>
      <c r="G52" s="98"/>
      <c r="H52" s="98">
        <v>69.0</v>
      </c>
      <c r="I52" s="224"/>
      <c r="J52" s="188"/>
      <c r="K52" s="225">
        <f t="shared" si="1"/>
        <v>0</v>
      </c>
    </row>
    <row r="53" ht="15.75" customHeight="1">
      <c r="A53" s="154">
        <v>50.0</v>
      </c>
      <c r="B53" s="155">
        <v>8750.0</v>
      </c>
      <c r="C53" s="222">
        <v>9.11722104097E11</v>
      </c>
      <c r="D53" s="157" t="s">
        <v>474</v>
      </c>
      <c r="E53" s="226"/>
      <c r="F53" s="223">
        <v>84.0</v>
      </c>
      <c r="G53" s="98"/>
      <c r="H53" s="98">
        <v>83.0</v>
      </c>
      <c r="I53" s="224"/>
      <c r="J53" s="188"/>
      <c r="K53" s="225">
        <f t="shared" si="1"/>
        <v>0</v>
      </c>
    </row>
    <row r="54" ht="15.75" customHeight="1">
      <c r="A54" s="154">
        <v>51.0</v>
      </c>
      <c r="B54" s="155">
        <v>8757.0</v>
      </c>
      <c r="C54" s="222">
        <v>9.117221041E11</v>
      </c>
      <c r="D54" s="157" t="s">
        <v>475</v>
      </c>
      <c r="E54" s="227"/>
      <c r="F54" s="223" t="s">
        <v>27</v>
      </c>
      <c r="G54" s="98"/>
      <c r="H54" s="98">
        <v>77.0</v>
      </c>
      <c r="I54" s="223"/>
      <c r="J54" s="188"/>
      <c r="K54" s="225">
        <f t="shared" si="1"/>
        <v>1</v>
      </c>
    </row>
    <row r="55" ht="15.75" customHeight="1">
      <c r="A55" s="154">
        <v>52.0</v>
      </c>
      <c r="B55" s="155">
        <v>9057.0</v>
      </c>
      <c r="C55" s="222">
        <v>9.11722104101E11</v>
      </c>
      <c r="D55" s="157" t="s">
        <v>476</v>
      </c>
      <c r="E55" s="228"/>
      <c r="F55" s="224">
        <v>59.0</v>
      </c>
      <c r="G55" s="98"/>
      <c r="H55" s="223">
        <v>28.0</v>
      </c>
      <c r="I55" s="224"/>
      <c r="J55" s="188"/>
      <c r="K55" s="225">
        <f t="shared" si="1"/>
        <v>1</v>
      </c>
    </row>
    <row r="56" ht="15.75" customHeight="1">
      <c r="A56" s="154">
        <v>53.0</v>
      </c>
      <c r="B56" s="155">
        <v>8918.0</v>
      </c>
      <c r="C56" s="222">
        <v>9.11722104102E11</v>
      </c>
      <c r="D56" s="157" t="s">
        <v>477</v>
      </c>
      <c r="E56" s="226"/>
      <c r="F56" s="224" t="s">
        <v>27</v>
      </c>
      <c r="G56" s="98"/>
      <c r="H56" s="98" t="s">
        <v>27</v>
      </c>
      <c r="I56" s="224"/>
      <c r="J56" s="188"/>
      <c r="K56" s="225">
        <f t="shared" si="1"/>
        <v>2</v>
      </c>
    </row>
    <row r="57" ht="15.75" customHeight="1">
      <c r="A57" s="154">
        <v>54.0</v>
      </c>
      <c r="B57" s="155">
        <v>8761.0</v>
      </c>
      <c r="C57" s="222">
        <v>9.11722104104E11</v>
      </c>
      <c r="D57" s="157" t="s">
        <v>478</v>
      </c>
      <c r="E57" s="226"/>
      <c r="F57" s="224">
        <v>62.0</v>
      </c>
      <c r="G57" s="98"/>
      <c r="H57" s="98">
        <v>61.0</v>
      </c>
      <c r="I57" s="224"/>
      <c r="J57" s="188"/>
      <c r="K57" s="225">
        <f t="shared" si="1"/>
        <v>0</v>
      </c>
    </row>
    <row r="58" ht="15.75" customHeight="1">
      <c r="A58" s="154">
        <v>55.0</v>
      </c>
      <c r="B58" s="155">
        <v>9086.0</v>
      </c>
      <c r="C58" s="222">
        <v>9.11722104106E11</v>
      </c>
      <c r="D58" s="157" t="s">
        <v>479</v>
      </c>
      <c r="E58" s="226"/>
      <c r="F58" s="98">
        <v>76.0</v>
      </c>
      <c r="G58" s="98"/>
      <c r="H58" s="98">
        <v>84.0</v>
      </c>
      <c r="I58" s="98"/>
      <c r="J58" s="188"/>
      <c r="K58" s="225">
        <f t="shared" si="1"/>
        <v>0</v>
      </c>
    </row>
    <row r="59" ht="15.75" customHeight="1">
      <c r="A59" s="154">
        <v>56.0</v>
      </c>
      <c r="B59" s="155">
        <v>8762.0</v>
      </c>
      <c r="C59" s="222">
        <v>9.11722104108E11</v>
      </c>
      <c r="D59" s="157" t="s">
        <v>480</v>
      </c>
      <c r="E59" s="226"/>
      <c r="F59" s="98">
        <v>78.0</v>
      </c>
      <c r="G59" s="98"/>
      <c r="H59" s="98">
        <v>82.0</v>
      </c>
      <c r="I59" s="98"/>
      <c r="J59" s="188"/>
      <c r="K59" s="225">
        <f t="shared" si="1"/>
        <v>0</v>
      </c>
    </row>
    <row r="60" ht="15.75" customHeight="1">
      <c r="A60" s="154">
        <v>57.0</v>
      </c>
      <c r="B60" s="155">
        <v>8650.0</v>
      </c>
      <c r="C60" s="222">
        <v>9.11722104109E11</v>
      </c>
      <c r="D60" s="157" t="s">
        <v>481</v>
      </c>
      <c r="E60" s="227"/>
      <c r="F60" s="224">
        <v>79.0</v>
      </c>
      <c r="G60" s="98"/>
      <c r="H60" s="98">
        <v>65.0</v>
      </c>
      <c r="I60" s="224"/>
      <c r="J60" s="188"/>
      <c r="K60" s="225">
        <f t="shared" si="1"/>
        <v>0</v>
      </c>
    </row>
    <row r="61" ht="15.75" customHeight="1">
      <c r="A61" s="154">
        <v>58.0</v>
      </c>
      <c r="B61" s="155">
        <v>8649.0</v>
      </c>
      <c r="C61" s="222">
        <v>9.1172210411E11</v>
      </c>
      <c r="D61" s="157" t="s">
        <v>482</v>
      </c>
      <c r="E61" s="226"/>
      <c r="F61" s="223" t="s">
        <v>27</v>
      </c>
      <c r="G61" s="98"/>
      <c r="H61" s="98">
        <v>87.0</v>
      </c>
      <c r="I61" s="223"/>
      <c r="J61" s="188"/>
      <c r="K61" s="225">
        <f t="shared" si="1"/>
        <v>1</v>
      </c>
    </row>
    <row r="62" ht="15.75" customHeight="1">
      <c r="A62" s="154">
        <v>59.0</v>
      </c>
      <c r="B62" s="155">
        <v>8682.0</v>
      </c>
      <c r="C62" s="222">
        <v>9.11722104115E11</v>
      </c>
      <c r="D62" s="157" t="s">
        <v>483</v>
      </c>
      <c r="E62" s="227"/>
      <c r="F62" s="224" t="s">
        <v>27</v>
      </c>
      <c r="G62" s="98"/>
      <c r="H62" s="98">
        <v>66.0</v>
      </c>
      <c r="I62" s="98"/>
      <c r="J62" s="188"/>
      <c r="K62" s="225">
        <f t="shared" si="1"/>
        <v>1</v>
      </c>
    </row>
    <row r="63" ht="15.75" customHeight="1">
      <c r="A63" s="154">
        <v>60.0</v>
      </c>
      <c r="B63" s="155">
        <v>8783.0</v>
      </c>
      <c r="C63" s="222">
        <v>9.11722104116E11</v>
      </c>
      <c r="D63" s="157" t="s">
        <v>484</v>
      </c>
      <c r="E63" s="226"/>
      <c r="F63" s="98">
        <v>68.0</v>
      </c>
      <c r="G63" s="98"/>
      <c r="H63" s="98">
        <v>86.0</v>
      </c>
      <c r="I63" s="98"/>
      <c r="J63" s="188"/>
      <c r="K63" s="225">
        <f t="shared" si="1"/>
        <v>0</v>
      </c>
    </row>
    <row r="64" ht="15.75" customHeight="1">
      <c r="A64" s="154">
        <v>61.0</v>
      </c>
      <c r="B64" s="155">
        <v>8677.0</v>
      </c>
      <c r="C64" s="222">
        <v>9.1172210412E11</v>
      </c>
      <c r="D64" s="157" t="s">
        <v>485</v>
      </c>
      <c r="E64" s="228"/>
      <c r="F64" s="224">
        <v>36.0</v>
      </c>
      <c r="G64" s="98"/>
      <c r="H64" s="223">
        <v>44.0</v>
      </c>
      <c r="I64" s="224"/>
      <c r="J64" s="188"/>
      <c r="K64" s="225">
        <f t="shared" si="1"/>
        <v>2</v>
      </c>
    </row>
    <row r="65" ht="15.75" customHeight="1">
      <c r="A65" s="189" t="s">
        <v>83</v>
      </c>
      <c r="B65" s="55"/>
      <c r="C65" s="55"/>
      <c r="D65" s="56"/>
      <c r="E65" s="98">
        <v>61.0</v>
      </c>
      <c r="F65" s="98">
        <v>61.0</v>
      </c>
      <c r="G65" s="98">
        <v>61.0</v>
      </c>
      <c r="H65" s="98">
        <v>61.0</v>
      </c>
      <c r="I65" s="98">
        <v>61.0</v>
      </c>
      <c r="J65" s="163">
        <v>61.0</v>
      </c>
    </row>
    <row r="66" ht="15.75" customHeight="1">
      <c r="A66" s="189" t="s">
        <v>84</v>
      </c>
      <c r="B66" s="55"/>
      <c r="C66" s="55"/>
      <c r="D66" s="56"/>
      <c r="E66" s="98">
        <v>60.0</v>
      </c>
      <c r="F66" s="98">
        <f t="shared" ref="F66:J66" si="2">F65-F67</f>
        <v>42</v>
      </c>
      <c r="G66" s="98">
        <f t="shared" si="2"/>
        <v>61</v>
      </c>
      <c r="H66" s="98">
        <f t="shared" si="2"/>
        <v>55</v>
      </c>
      <c r="I66" s="98">
        <f t="shared" si="2"/>
        <v>61</v>
      </c>
      <c r="J66" s="163">
        <f t="shared" si="2"/>
        <v>61</v>
      </c>
    </row>
    <row r="67" ht="15.75" customHeight="1">
      <c r="A67" s="189" t="s">
        <v>85</v>
      </c>
      <c r="B67" s="55"/>
      <c r="C67" s="55"/>
      <c r="D67" s="56"/>
      <c r="E67" s="98">
        <v>1.0</v>
      </c>
      <c r="F67" s="98">
        <f t="shared" ref="F67:G67" si="3">COUNTIF(F4:F63,"AB")</f>
        <v>19</v>
      </c>
      <c r="G67" s="98">
        <f t="shared" si="3"/>
        <v>0</v>
      </c>
      <c r="H67" s="98">
        <v>6.0</v>
      </c>
      <c r="I67" s="98">
        <f t="shared" ref="I67:J67" si="4">COUNTIF(I4:I63,"AB")</f>
        <v>0</v>
      </c>
      <c r="J67" s="163">
        <f t="shared" si="4"/>
        <v>0</v>
      </c>
    </row>
    <row r="68" ht="15.75" customHeight="1">
      <c r="A68" s="189" t="s">
        <v>86</v>
      </c>
      <c r="B68" s="55"/>
      <c r="C68" s="55"/>
      <c r="D68" s="56"/>
      <c r="E68" s="98">
        <v>49.0</v>
      </c>
      <c r="F68" s="98">
        <f t="shared" ref="F68:J68" si="5">COUNTIF(F4:F64,"&gt;=50")</f>
        <v>34</v>
      </c>
      <c r="G68" s="98">
        <f t="shared" si="5"/>
        <v>0</v>
      </c>
      <c r="H68" s="98">
        <f t="shared" si="5"/>
        <v>47</v>
      </c>
      <c r="I68" s="98">
        <f t="shared" si="5"/>
        <v>0</v>
      </c>
      <c r="J68" s="163">
        <f t="shared" si="5"/>
        <v>0</v>
      </c>
    </row>
    <row r="69" ht="15.75" customHeight="1">
      <c r="A69" s="189" t="s">
        <v>87</v>
      </c>
      <c r="B69" s="55"/>
      <c r="C69" s="55"/>
      <c r="D69" s="56"/>
      <c r="E69" s="98">
        <f t="shared" ref="E69:J69" si="6">E65-E68</f>
        <v>12</v>
      </c>
      <c r="F69" s="98">
        <f t="shared" si="6"/>
        <v>27</v>
      </c>
      <c r="G69" s="98">
        <f t="shared" si="6"/>
        <v>61</v>
      </c>
      <c r="H69" s="98">
        <f t="shared" si="6"/>
        <v>14</v>
      </c>
      <c r="I69" s="98">
        <f t="shared" si="6"/>
        <v>61</v>
      </c>
      <c r="J69" s="163">
        <f t="shared" si="6"/>
        <v>61</v>
      </c>
    </row>
    <row r="70" ht="15.75" customHeight="1">
      <c r="A70" s="189" t="s">
        <v>88</v>
      </c>
      <c r="B70" s="55"/>
      <c r="C70" s="55"/>
      <c r="D70" s="56"/>
      <c r="E70" s="164">
        <f t="shared" ref="E70:J70" si="7">(E68/E65)*100</f>
        <v>80.32786885</v>
      </c>
      <c r="F70" s="164">
        <f t="shared" si="7"/>
        <v>55.73770492</v>
      </c>
      <c r="G70" s="164">
        <f t="shared" si="7"/>
        <v>0</v>
      </c>
      <c r="H70" s="164">
        <f t="shared" si="7"/>
        <v>77.04918033</v>
      </c>
      <c r="I70" s="229">
        <f t="shared" si="7"/>
        <v>0</v>
      </c>
      <c r="J70" s="230">
        <f t="shared" si="7"/>
        <v>0</v>
      </c>
    </row>
    <row r="71" ht="15.75" customHeight="1">
      <c r="A71" s="191"/>
      <c r="B71" s="191"/>
      <c r="C71" s="231"/>
      <c r="D71" s="191" t="s">
        <v>89</v>
      </c>
      <c r="E71" s="98">
        <f t="shared" ref="E71:J71" si="8">COUNTIF(H4:H64,"&lt;25")</f>
        <v>3</v>
      </c>
      <c r="F71" s="98">
        <f t="shared" si="8"/>
        <v>0</v>
      </c>
      <c r="G71" s="98">
        <f t="shared" si="8"/>
        <v>0</v>
      </c>
      <c r="H71" s="98">
        <f t="shared" si="8"/>
        <v>61</v>
      </c>
      <c r="I71" s="98">
        <f t="shared" si="8"/>
        <v>0</v>
      </c>
      <c r="J71" s="98">
        <f t="shared" si="8"/>
        <v>0</v>
      </c>
    </row>
    <row r="72" ht="15.75" customHeight="1">
      <c r="A72" s="192" t="s">
        <v>161</v>
      </c>
      <c r="B72" s="55"/>
      <c r="C72" s="55"/>
      <c r="D72" s="56"/>
      <c r="E72" s="98">
        <v>11.0</v>
      </c>
      <c r="F72" s="98">
        <f t="shared" ref="F72:J72" si="9">COUNTIFS(F4:F64, "&gt;=25",F4:F64, "&lt;=49")</f>
        <v>7</v>
      </c>
      <c r="G72" s="98">
        <f t="shared" si="9"/>
        <v>0</v>
      </c>
      <c r="H72" s="98">
        <f t="shared" si="9"/>
        <v>7</v>
      </c>
      <c r="I72" s="98">
        <f t="shared" si="9"/>
        <v>0</v>
      </c>
      <c r="J72" s="98">
        <f t="shared" si="9"/>
        <v>0</v>
      </c>
    </row>
    <row r="73" ht="15.75" customHeight="1">
      <c r="A73" s="193" t="s">
        <v>91</v>
      </c>
      <c r="B73" s="55"/>
      <c r="C73" s="55"/>
      <c r="D73" s="56"/>
      <c r="E73" s="98">
        <v>10.0</v>
      </c>
      <c r="F73" s="98">
        <f t="shared" ref="F73:J73" si="10">COUNTIFS(F4:F64, "&gt;=50",F4:F64, "&lt;=55")</f>
        <v>0</v>
      </c>
      <c r="G73" s="98">
        <f t="shared" si="10"/>
        <v>0</v>
      </c>
      <c r="H73" s="98">
        <f t="shared" si="10"/>
        <v>1</v>
      </c>
      <c r="I73" s="98">
        <f t="shared" si="10"/>
        <v>0</v>
      </c>
      <c r="J73" s="163">
        <f t="shared" si="10"/>
        <v>0</v>
      </c>
    </row>
    <row r="74" ht="15.75" customHeight="1">
      <c r="A74" s="193" t="s">
        <v>92</v>
      </c>
      <c r="B74" s="55"/>
      <c r="C74" s="55"/>
      <c r="D74" s="56"/>
      <c r="E74" s="98">
        <v>5.0</v>
      </c>
      <c r="F74" s="98">
        <f t="shared" ref="F74:J74" si="11">COUNTIFS(F4:F64, "&gt;=56",F4:F64, "&lt;=60")</f>
        <v>3</v>
      </c>
      <c r="G74" s="98">
        <f t="shared" si="11"/>
        <v>0</v>
      </c>
      <c r="H74" s="98">
        <f t="shared" si="11"/>
        <v>1</v>
      </c>
      <c r="I74" s="98">
        <f t="shared" si="11"/>
        <v>0</v>
      </c>
      <c r="J74" s="163">
        <f t="shared" si="11"/>
        <v>0</v>
      </c>
    </row>
    <row r="75" ht="15.75" customHeight="1">
      <c r="A75" s="193" t="s">
        <v>93</v>
      </c>
      <c r="B75" s="55"/>
      <c r="C75" s="55"/>
      <c r="D75" s="56"/>
      <c r="E75" s="98">
        <v>19.0</v>
      </c>
      <c r="F75" s="98">
        <f t="shared" ref="F75:J75" si="12">COUNTIFS(F4:F64, "&gt;=61",F4:F64, "&lt;=70")</f>
        <v>15</v>
      </c>
      <c r="G75" s="98">
        <f t="shared" si="12"/>
        <v>0</v>
      </c>
      <c r="H75" s="98">
        <f t="shared" si="12"/>
        <v>10</v>
      </c>
      <c r="I75" s="98">
        <f t="shared" si="12"/>
        <v>0</v>
      </c>
      <c r="J75" s="163">
        <f t="shared" si="12"/>
        <v>0</v>
      </c>
    </row>
    <row r="76" ht="15.75" customHeight="1">
      <c r="A76" s="193" t="s">
        <v>94</v>
      </c>
      <c r="B76" s="55"/>
      <c r="C76" s="55"/>
      <c r="D76" s="56"/>
      <c r="E76" s="98">
        <v>10.0</v>
      </c>
      <c r="F76" s="98">
        <f t="shared" ref="F76:J76" si="13">COUNTIFS(F4:F64, "&gt;=71",F4:F64, "&lt;=80")</f>
        <v>11</v>
      </c>
      <c r="G76" s="98">
        <f t="shared" si="13"/>
        <v>0</v>
      </c>
      <c r="H76" s="98">
        <f t="shared" si="13"/>
        <v>10</v>
      </c>
      <c r="I76" s="98">
        <f t="shared" si="13"/>
        <v>0</v>
      </c>
      <c r="J76" s="163">
        <f t="shared" si="13"/>
        <v>0</v>
      </c>
    </row>
    <row r="77" ht="15.75" customHeight="1">
      <c r="A77" s="193" t="s">
        <v>95</v>
      </c>
      <c r="B77" s="55"/>
      <c r="C77" s="55"/>
      <c r="D77" s="56"/>
      <c r="E77" s="98">
        <f t="shared" ref="E77:J77" si="14">COUNTIFS(E4:E64, "&gt;=81",E4:E64, "&lt;=90")</f>
        <v>0</v>
      </c>
      <c r="F77" s="98">
        <f t="shared" si="14"/>
        <v>5</v>
      </c>
      <c r="G77" s="98">
        <f t="shared" si="14"/>
        <v>0</v>
      </c>
      <c r="H77" s="98">
        <f t="shared" si="14"/>
        <v>15</v>
      </c>
      <c r="I77" s="98">
        <f t="shared" si="14"/>
        <v>0</v>
      </c>
      <c r="J77" s="163">
        <f t="shared" si="14"/>
        <v>0</v>
      </c>
    </row>
    <row r="78" ht="15.75" customHeight="1">
      <c r="A78" s="194" t="s">
        <v>96</v>
      </c>
      <c r="B78" s="7"/>
      <c r="C78" s="7"/>
      <c r="D78" s="8"/>
      <c r="E78" s="167">
        <f t="shared" ref="E78:J78" si="15">COUNTIFS(E4:E64, "&gt;=91",E4:E64, "&lt;=100")</f>
        <v>0</v>
      </c>
      <c r="F78" s="167">
        <f t="shared" si="15"/>
        <v>0</v>
      </c>
      <c r="G78" s="167">
        <f t="shared" si="15"/>
        <v>0</v>
      </c>
      <c r="H78" s="167">
        <f t="shared" si="15"/>
        <v>10</v>
      </c>
      <c r="I78" s="167">
        <f t="shared" si="15"/>
        <v>0</v>
      </c>
      <c r="J78" s="232">
        <f t="shared" si="15"/>
        <v>0</v>
      </c>
    </row>
    <row r="79" ht="15.75" customHeight="1">
      <c r="C79" s="102"/>
      <c r="J79" s="225"/>
    </row>
    <row r="80" ht="15.75" customHeight="1">
      <c r="C80" s="102"/>
      <c r="J80" s="225"/>
    </row>
    <row r="81" ht="15.75" customHeight="1">
      <c r="C81" s="102"/>
      <c r="J81" s="225"/>
    </row>
    <row r="82" ht="15.75" customHeight="1">
      <c r="C82" s="102"/>
      <c r="J82" s="225"/>
    </row>
    <row r="83" ht="15.75" customHeight="1">
      <c r="C83" s="102"/>
      <c r="J83" s="225"/>
    </row>
    <row r="84" ht="15.75" customHeight="1">
      <c r="C84" s="102"/>
      <c r="J84" s="225"/>
    </row>
    <row r="85" ht="15.75" customHeight="1">
      <c r="C85" s="102"/>
      <c r="J85" s="225"/>
    </row>
    <row r="86" ht="15.75" customHeight="1">
      <c r="C86" s="102"/>
      <c r="J86" s="225"/>
    </row>
    <row r="87" ht="15.75" customHeight="1">
      <c r="C87" s="102"/>
      <c r="J87" s="225"/>
    </row>
    <row r="88" ht="15.75" customHeight="1">
      <c r="C88" s="102"/>
      <c r="J88" s="225"/>
    </row>
    <row r="89" ht="15.75" customHeight="1">
      <c r="C89" s="102"/>
      <c r="J89" s="225"/>
    </row>
    <row r="90" ht="15.75" customHeight="1">
      <c r="C90" s="102"/>
      <c r="J90" s="225"/>
    </row>
    <row r="91" ht="15.75" customHeight="1">
      <c r="C91" s="102"/>
      <c r="J91" s="225"/>
    </row>
    <row r="92" ht="15.75" customHeight="1">
      <c r="C92" s="102"/>
      <c r="J92" s="225"/>
    </row>
    <row r="93" ht="15.75" customHeight="1">
      <c r="C93" s="102"/>
      <c r="J93" s="225"/>
    </row>
    <row r="94" ht="15.75" customHeight="1">
      <c r="C94" s="102"/>
      <c r="J94" s="225"/>
    </row>
    <row r="95" ht="15.75" customHeight="1">
      <c r="C95" s="102"/>
      <c r="J95" s="225"/>
    </row>
    <row r="96" ht="15.75" customHeight="1">
      <c r="C96" s="102"/>
      <c r="J96" s="225"/>
    </row>
    <row r="97" ht="15.75" customHeight="1">
      <c r="C97" s="102"/>
      <c r="J97" s="225"/>
    </row>
    <row r="98" ht="15.75" customHeight="1">
      <c r="C98" s="102"/>
      <c r="J98" s="225"/>
    </row>
    <row r="99" ht="15.75" customHeight="1">
      <c r="C99" s="102"/>
      <c r="J99" s="225"/>
    </row>
    <row r="100" ht="15.75" customHeight="1">
      <c r="C100" s="102"/>
      <c r="J100" s="225"/>
    </row>
    <row r="101" ht="15.75" customHeight="1">
      <c r="C101" s="102"/>
      <c r="J101" s="225"/>
    </row>
    <row r="102" ht="15.75" customHeight="1">
      <c r="C102" s="102"/>
      <c r="J102" s="225"/>
    </row>
    <row r="103" ht="15.75" customHeight="1">
      <c r="C103" s="102"/>
      <c r="J103" s="225"/>
    </row>
    <row r="104" ht="15.75" customHeight="1">
      <c r="C104" s="102"/>
      <c r="J104" s="225"/>
    </row>
    <row r="105" ht="15.75" customHeight="1">
      <c r="C105" s="102"/>
      <c r="J105" s="225"/>
    </row>
    <row r="106" ht="15.75" customHeight="1">
      <c r="C106" s="102"/>
      <c r="J106" s="225"/>
    </row>
    <row r="107" ht="15.75" customHeight="1">
      <c r="C107" s="102"/>
      <c r="J107" s="225"/>
    </row>
    <row r="108" ht="15.75" customHeight="1">
      <c r="C108" s="102"/>
      <c r="J108" s="225"/>
    </row>
    <row r="109" ht="15.75" customHeight="1">
      <c r="C109" s="102"/>
      <c r="J109" s="225"/>
    </row>
    <row r="110" ht="15.75" customHeight="1">
      <c r="C110" s="102"/>
      <c r="J110" s="225"/>
    </row>
    <row r="111" ht="15.75" customHeight="1">
      <c r="C111" s="102"/>
      <c r="J111" s="225"/>
    </row>
    <row r="112" ht="15.75" customHeight="1">
      <c r="C112" s="102"/>
      <c r="J112" s="225"/>
    </row>
    <row r="113" ht="15.75" customHeight="1">
      <c r="C113" s="102"/>
      <c r="J113" s="225"/>
    </row>
    <row r="114" ht="15.75" customHeight="1">
      <c r="C114" s="102"/>
      <c r="J114" s="225"/>
    </row>
    <row r="115" ht="15.75" customHeight="1">
      <c r="C115" s="102"/>
      <c r="J115" s="225"/>
    </row>
    <row r="116" ht="15.75" customHeight="1">
      <c r="C116" s="102"/>
      <c r="J116" s="225"/>
    </row>
    <row r="117" ht="15.75" customHeight="1">
      <c r="C117" s="102"/>
      <c r="J117" s="225"/>
    </row>
    <row r="118" ht="15.75" customHeight="1">
      <c r="C118" s="102"/>
      <c r="J118" s="225"/>
    </row>
    <row r="119" ht="15.75" customHeight="1">
      <c r="C119" s="102"/>
      <c r="J119" s="225"/>
    </row>
    <row r="120" ht="15.75" customHeight="1">
      <c r="C120" s="102"/>
      <c r="J120" s="225"/>
    </row>
    <row r="121" ht="15.75" customHeight="1">
      <c r="C121" s="102"/>
      <c r="J121" s="225"/>
    </row>
    <row r="122" ht="15.75" customHeight="1">
      <c r="C122" s="102"/>
      <c r="J122" s="225"/>
    </row>
    <row r="123" ht="15.75" customHeight="1">
      <c r="C123" s="102"/>
      <c r="J123" s="225"/>
    </row>
    <row r="124" ht="15.75" customHeight="1">
      <c r="C124" s="102"/>
      <c r="J124" s="225"/>
    </row>
    <row r="125" ht="15.75" customHeight="1">
      <c r="C125" s="102"/>
      <c r="J125" s="225"/>
    </row>
    <row r="126" ht="15.75" customHeight="1">
      <c r="C126" s="102"/>
      <c r="J126" s="225"/>
    </row>
    <row r="127" ht="15.75" customHeight="1">
      <c r="C127" s="102"/>
      <c r="J127" s="225"/>
    </row>
    <row r="128" ht="15.75" customHeight="1">
      <c r="C128" s="102"/>
      <c r="J128" s="225"/>
    </row>
    <row r="129" ht="15.75" customHeight="1">
      <c r="C129" s="102"/>
      <c r="J129" s="225"/>
    </row>
    <row r="130" ht="15.75" customHeight="1">
      <c r="C130" s="102"/>
      <c r="J130" s="225"/>
    </row>
    <row r="131" ht="15.75" customHeight="1">
      <c r="C131" s="102"/>
      <c r="J131" s="225"/>
    </row>
    <row r="132" ht="15.75" customHeight="1">
      <c r="C132" s="102"/>
      <c r="J132" s="225"/>
    </row>
    <row r="133" ht="15.75" customHeight="1">
      <c r="C133" s="102"/>
      <c r="J133" s="225"/>
    </row>
    <row r="134" ht="15.75" customHeight="1">
      <c r="C134" s="102"/>
      <c r="J134" s="225"/>
    </row>
    <row r="135" ht="15.75" customHeight="1">
      <c r="C135" s="102"/>
      <c r="J135" s="225"/>
    </row>
    <row r="136" ht="15.75" customHeight="1">
      <c r="C136" s="102"/>
      <c r="J136" s="225"/>
    </row>
    <row r="137" ht="15.75" customHeight="1">
      <c r="C137" s="102"/>
      <c r="J137" s="225"/>
    </row>
    <row r="138" ht="15.75" customHeight="1">
      <c r="C138" s="102"/>
      <c r="J138" s="225"/>
    </row>
    <row r="139" ht="15.75" customHeight="1">
      <c r="C139" s="102"/>
      <c r="J139" s="225"/>
    </row>
    <row r="140" ht="15.75" customHeight="1">
      <c r="C140" s="102"/>
      <c r="J140" s="225"/>
    </row>
    <row r="141" ht="15.75" customHeight="1">
      <c r="C141" s="102"/>
      <c r="J141" s="225"/>
    </row>
    <row r="142" ht="15.75" customHeight="1">
      <c r="C142" s="102"/>
      <c r="J142" s="225"/>
    </row>
    <row r="143" ht="15.75" customHeight="1">
      <c r="C143" s="102"/>
      <c r="J143" s="225"/>
    </row>
    <row r="144" ht="15.75" customHeight="1">
      <c r="C144" s="102"/>
      <c r="J144" s="225"/>
    </row>
    <row r="145" ht="15.75" customHeight="1">
      <c r="C145" s="102"/>
      <c r="J145" s="225"/>
    </row>
    <row r="146" ht="15.75" customHeight="1">
      <c r="C146" s="102"/>
      <c r="J146" s="225"/>
    </row>
    <row r="147" ht="15.75" customHeight="1">
      <c r="C147" s="102"/>
      <c r="J147" s="225"/>
    </row>
    <row r="148" ht="15.75" customHeight="1">
      <c r="C148" s="102"/>
      <c r="J148" s="225"/>
    </row>
    <row r="149" ht="15.75" customHeight="1">
      <c r="C149" s="102"/>
      <c r="J149" s="225"/>
    </row>
    <row r="150" ht="15.75" customHeight="1">
      <c r="C150" s="102"/>
      <c r="J150" s="225"/>
    </row>
    <row r="151" ht="15.75" customHeight="1">
      <c r="C151" s="102"/>
      <c r="J151" s="225"/>
    </row>
    <row r="152" ht="15.75" customHeight="1">
      <c r="C152" s="102"/>
      <c r="J152" s="225"/>
    </row>
    <row r="153" ht="15.75" customHeight="1">
      <c r="C153" s="102"/>
      <c r="J153" s="225"/>
    </row>
    <row r="154" ht="15.75" customHeight="1">
      <c r="C154" s="102"/>
      <c r="J154" s="225"/>
    </row>
    <row r="155" ht="15.75" customHeight="1">
      <c r="C155" s="102"/>
      <c r="J155" s="225"/>
    </row>
    <row r="156" ht="15.75" customHeight="1">
      <c r="C156" s="102"/>
      <c r="J156" s="225"/>
    </row>
    <row r="157" ht="15.75" customHeight="1">
      <c r="C157" s="102"/>
      <c r="J157" s="225"/>
    </row>
    <row r="158" ht="15.75" customHeight="1">
      <c r="C158" s="102"/>
      <c r="J158" s="225"/>
    </row>
    <row r="159" ht="15.75" customHeight="1">
      <c r="C159" s="102"/>
      <c r="J159" s="225"/>
    </row>
    <row r="160" ht="15.75" customHeight="1">
      <c r="C160" s="102"/>
      <c r="J160" s="225"/>
    </row>
    <row r="161" ht="15.75" customHeight="1">
      <c r="C161" s="102"/>
      <c r="J161" s="225"/>
    </row>
    <row r="162" ht="15.75" customHeight="1">
      <c r="C162" s="102"/>
      <c r="J162" s="225"/>
    </row>
    <row r="163" ht="15.75" customHeight="1">
      <c r="C163" s="102"/>
      <c r="J163" s="225"/>
    </row>
    <row r="164" ht="15.75" customHeight="1">
      <c r="C164" s="102"/>
      <c r="J164" s="225"/>
    </row>
    <row r="165" ht="15.75" customHeight="1">
      <c r="C165" s="102"/>
      <c r="J165" s="225"/>
    </row>
    <row r="166" ht="15.75" customHeight="1">
      <c r="C166" s="102"/>
      <c r="J166" s="225"/>
    </row>
    <row r="167" ht="15.75" customHeight="1">
      <c r="C167" s="102"/>
      <c r="J167" s="225"/>
    </row>
    <row r="168" ht="15.75" customHeight="1">
      <c r="C168" s="102"/>
      <c r="J168" s="225"/>
    </row>
    <row r="169" ht="15.75" customHeight="1">
      <c r="C169" s="102"/>
      <c r="J169" s="225"/>
    </row>
    <row r="170" ht="15.75" customHeight="1">
      <c r="C170" s="102"/>
      <c r="J170" s="225"/>
    </row>
    <row r="171" ht="15.75" customHeight="1">
      <c r="C171" s="102"/>
      <c r="J171" s="225"/>
    </row>
    <row r="172" ht="15.75" customHeight="1">
      <c r="C172" s="102"/>
      <c r="J172" s="225"/>
    </row>
    <row r="173" ht="15.75" customHeight="1">
      <c r="C173" s="102"/>
      <c r="J173" s="225"/>
    </row>
    <row r="174" ht="15.75" customHeight="1">
      <c r="C174" s="102"/>
      <c r="J174" s="225"/>
    </row>
    <row r="175" ht="15.75" customHeight="1">
      <c r="C175" s="102"/>
      <c r="J175" s="225"/>
    </row>
    <row r="176" ht="15.75" customHeight="1">
      <c r="C176" s="102"/>
      <c r="J176" s="225"/>
    </row>
    <row r="177" ht="15.75" customHeight="1">
      <c r="C177" s="102"/>
      <c r="J177" s="225"/>
    </row>
    <row r="178" ht="15.75" customHeight="1">
      <c r="C178" s="102"/>
      <c r="J178" s="225"/>
    </row>
    <row r="179" ht="15.75" customHeight="1">
      <c r="C179" s="102"/>
      <c r="J179" s="225"/>
    </row>
    <row r="180" ht="15.75" customHeight="1">
      <c r="C180" s="102"/>
      <c r="J180" s="225"/>
    </row>
    <row r="181" ht="15.75" customHeight="1">
      <c r="C181" s="102"/>
      <c r="J181" s="225"/>
    </row>
    <row r="182" ht="15.75" customHeight="1">
      <c r="C182" s="102"/>
      <c r="J182" s="225"/>
    </row>
    <row r="183" ht="15.75" customHeight="1">
      <c r="C183" s="102"/>
      <c r="J183" s="225"/>
    </row>
    <row r="184" ht="15.75" customHeight="1">
      <c r="C184" s="102"/>
      <c r="J184" s="225"/>
    </row>
    <row r="185" ht="15.75" customHeight="1">
      <c r="C185" s="102"/>
      <c r="J185" s="225"/>
    </row>
    <row r="186" ht="15.75" customHeight="1">
      <c r="C186" s="102"/>
      <c r="J186" s="225"/>
    </row>
    <row r="187" ht="15.75" customHeight="1">
      <c r="C187" s="102"/>
      <c r="J187" s="225"/>
    </row>
    <row r="188" ht="15.75" customHeight="1">
      <c r="C188" s="102"/>
      <c r="J188" s="225"/>
    </row>
    <row r="189" ht="15.75" customHeight="1">
      <c r="C189" s="102"/>
      <c r="J189" s="225"/>
    </row>
    <row r="190" ht="15.75" customHeight="1">
      <c r="C190" s="102"/>
      <c r="J190" s="225"/>
    </row>
    <row r="191" ht="15.75" customHeight="1">
      <c r="C191" s="102"/>
      <c r="J191" s="225"/>
    </row>
    <row r="192" ht="15.75" customHeight="1">
      <c r="C192" s="102"/>
      <c r="J192" s="225"/>
    </row>
    <row r="193" ht="15.75" customHeight="1">
      <c r="C193" s="102"/>
      <c r="J193" s="225"/>
    </row>
    <row r="194" ht="15.75" customHeight="1">
      <c r="C194" s="102"/>
      <c r="J194" s="225"/>
    </row>
    <row r="195" ht="15.75" customHeight="1">
      <c r="C195" s="102"/>
      <c r="J195" s="225"/>
    </row>
    <row r="196" ht="15.75" customHeight="1">
      <c r="C196" s="102"/>
      <c r="J196" s="225"/>
    </row>
    <row r="197" ht="15.75" customHeight="1">
      <c r="C197" s="102"/>
      <c r="J197" s="225"/>
    </row>
    <row r="198" ht="15.75" customHeight="1">
      <c r="C198" s="102"/>
      <c r="J198" s="225"/>
    </row>
    <row r="199" ht="15.75" customHeight="1">
      <c r="C199" s="102"/>
      <c r="J199" s="225"/>
    </row>
    <row r="200" ht="15.75" customHeight="1">
      <c r="C200" s="102"/>
      <c r="J200" s="225"/>
    </row>
    <row r="201" ht="15.75" customHeight="1">
      <c r="C201" s="102"/>
      <c r="J201" s="225"/>
    </row>
    <row r="202" ht="15.75" customHeight="1">
      <c r="C202" s="102"/>
      <c r="J202" s="225"/>
    </row>
    <row r="203" ht="15.75" customHeight="1">
      <c r="C203" s="102"/>
      <c r="J203" s="225"/>
    </row>
    <row r="204" ht="15.75" customHeight="1">
      <c r="C204" s="102"/>
      <c r="J204" s="225"/>
    </row>
    <row r="205" ht="15.75" customHeight="1">
      <c r="C205" s="102"/>
      <c r="J205" s="225"/>
    </row>
    <row r="206" ht="15.75" customHeight="1">
      <c r="C206" s="102"/>
      <c r="J206" s="225"/>
    </row>
    <row r="207" ht="15.75" customHeight="1">
      <c r="C207" s="102"/>
      <c r="J207" s="225"/>
    </row>
    <row r="208" ht="15.75" customHeight="1">
      <c r="C208" s="102"/>
      <c r="J208" s="225"/>
    </row>
    <row r="209" ht="15.75" customHeight="1">
      <c r="C209" s="102"/>
      <c r="J209" s="225"/>
    </row>
    <row r="210" ht="15.75" customHeight="1">
      <c r="C210" s="102"/>
      <c r="J210" s="225"/>
    </row>
    <row r="211" ht="15.75" customHeight="1">
      <c r="C211" s="102"/>
      <c r="J211" s="225"/>
    </row>
    <row r="212" ht="15.75" customHeight="1">
      <c r="C212" s="102"/>
      <c r="J212" s="225"/>
    </row>
    <row r="213" ht="15.75" customHeight="1">
      <c r="C213" s="102"/>
      <c r="J213" s="225"/>
    </row>
    <row r="214" ht="15.75" customHeight="1">
      <c r="C214" s="102"/>
      <c r="J214" s="225"/>
    </row>
    <row r="215" ht="15.75" customHeight="1">
      <c r="C215" s="102"/>
      <c r="J215" s="225"/>
    </row>
    <row r="216" ht="15.75" customHeight="1">
      <c r="C216" s="102"/>
      <c r="J216" s="225"/>
    </row>
    <row r="217" ht="15.75" customHeight="1">
      <c r="C217" s="102"/>
      <c r="J217" s="225"/>
    </row>
    <row r="218" ht="15.75" customHeight="1">
      <c r="C218" s="102"/>
      <c r="J218" s="225"/>
    </row>
    <row r="219" ht="15.75" customHeight="1">
      <c r="C219" s="102"/>
      <c r="J219" s="225"/>
    </row>
    <row r="220" ht="15.75" customHeight="1">
      <c r="C220" s="102"/>
      <c r="J220" s="225"/>
    </row>
    <row r="221" ht="15.75" customHeight="1">
      <c r="C221" s="102"/>
      <c r="J221" s="225"/>
    </row>
    <row r="222" ht="15.75" customHeight="1">
      <c r="C222" s="102"/>
      <c r="J222" s="225"/>
    </row>
    <row r="223" ht="15.75" customHeight="1">
      <c r="C223" s="102"/>
      <c r="J223" s="225"/>
    </row>
    <row r="224" ht="15.75" customHeight="1">
      <c r="C224" s="102"/>
      <c r="J224" s="225"/>
    </row>
    <row r="225" ht="15.75" customHeight="1">
      <c r="C225" s="102"/>
      <c r="J225" s="225"/>
    </row>
    <row r="226" ht="15.75" customHeight="1">
      <c r="C226" s="102"/>
      <c r="J226" s="225"/>
    </row>
    <row r="227" ht="15.75" customHeight="1">
      <c r="C227" s="102"/>
      <c r="J227" s="225"/>
    </row>
    <row r="228" ht="15.75" customHeight="1">
      <c r="C228" s="102"/>
      <c r="J228" s="225"/>
    </row>
    <row r="229" ht="15.75" customHeight="1">
      <c r="C229" s="102"/>
      <c r="J229" s="225"/>
    </row>
    <row r="230" ht="15.75" customHeight="1">
      <c r="C230" s="102"/>
      <c r="J230" s="225"/>
    </row>
    <row r="231" ht="15.75" customHeight="1">
      <c r="C231" s="102"/>
      <c r="J231" s="225"/>
    </row>
    <row r="232" ht="15.75" customHeight="1">
      <c r="C232" s="102"/>
      <c r="J232" s="225"/>
    </row>
    <row r="233" ht="15.75" customHeight="1">
      <c r="C233" s="102"/>
      <c r="J233" s="225"/>
    </row>
    <row r="234" ht="15.75" customHeight="1">
      <c r="C234" s="102"/>
      <c r="J234" s="225"/>
    </row>
    <row r="235" ht="15.75" customHeight="1">
      <c r="C235" s="102"/>
      <c r="J235" s="225"/>
    </row>
    <row r="236" ht="15.75" customHeight="1">
      <c r="C236" s="102"/>
      <c r="J236" s="225"/>
    </row>
    <row r="237" ht="15.75" customHeight="1">
      <c r="C237" s="102"/>
      <c r="J237" s="225"/>
    </row>
    <row r="238" ht="15.75" customHeight="1">
      <c r="C238" s="102"/>
      <c r="J238" s="225"/>
    </row>
    <row r="239" ht="15.75" customHeight="1">
      <c r="C239" s="102"/>
      <c r="J239" s="225"/>
    </row>
    <row r="240" ht="15.75" customHeight="1">
      <c r="C240" s="102"/>
      <c r="J240" s="225"/>
    </row>
    <row r="241" ht="15.75" customHeight="1">
      <c r="C241" s="102"/>
      <c r="J241" s="225"/>
    </row>
    <row r="242" ht="15.75" customHeight="1">
      <c r="C242" s="102"/>
      <c r="J242" s="225"/>
    </row>
    <row r="243" ht="15.75" customHeight="1">
      <c r="C243" s="102"/>
      <c r="J243" s="225"/>
    </row>
    <row r="244" ht="15.75" customHeight="1">
      <c r="C244" s="102"/>
      <c r="J244" s="225"/>
    </row>
    <row r="245" ht="15.75" customHeight="1">
      <c r="C245" s="102"/>
      <c r="J245" s="225"/>
    </row>
    <row r="246" ht="15.75" customHeight="1">
      <c r="C246" s="102"/>
      <c r="J246" s="225"/>
    </row>
    <row r="247" ht="15.75" customHeight="1">
      <c r="C247" s="102"/>
      <c r="J247" s="225"/>
    </row>
    <row r="248" ht="15.75" customHeight="1">
      <c r="C248" s="102"/>
      <c r="J248" s="225"/>
    </row>
    <row r="249" ht="15.75" customHeight="1">
      <c r="C249" s="102"/>
      <c r="J249" s="225"/>
    </row>
    <row r="250" ht="15.75" customHeight="1">
      <c r="C250" s="102"/>
      <c r="J250" s="225"/>
    </row>
    <row r="251" ht="15.75" customHeight="1">
      <c r="C251" s="102"/>
      <c r="J251" s="225"/>
    </row>
    <row r="252" ht="15.75" customHeight="1">
      <c r="C252" s="102"/>
      <c r="J252" s="225"/>
    </row>
    <row r="253" ht="15.75" customHeight="1">
      <c r="C253" s="102"/>
      <c r="J253" s="225"/>
    </row>
    <row r="254" ht="15.75" customHeight="1">
      <c r="C254" s="102"/>
      <c r="J254" s="225"/>
    </row>
    <row r="255" ht="15.75" customHeight="1">
      <c r="C255" s="102"/>
      <c r="J255" s="225"/>
    </row>
    <row r="256" ht="15.75" customHeight="1">
      <c r="C256" s="102"/>
      <c r="J256" s="225"/>
    </row>
    <row r="257" ht="15.75" customHeight="1">
      <c r="C257" s="102"/>
      <c r="J257" s="225"/>
    </row>
    <row r="258" ht="15.75" customHeight="1">
      <c r="C258" s="102"/>
      <c r="J258" s="225"/>
    </row>
    <row r="259" ht="15.75" customHeight="1">
      <c r="C259" s="102"/>
      <c r="J259" s="225"/>
    </row>
    <row r="260" ht="15.75" customHeight="1">
      <c r="C260" s="102"/>
      <c r="J260" s="225"/>
    </row>
    <row r="261" ht="15.75" customHeight="1">
      <c r="C261" s="102"/>
      <c r="J261" s="225"/>
    </row>
    <row r="262" ht="15.75" customHeight="1">
      <c r="C262" s="102"/>
      <c r="J262" s="225"/>
    </row>
    <row r="263" ht="15.75" customHeight="1">
      <c r="C263" s="102"/>
      <c r="J263" s="225"/>
    </row>
    <row r="264" ht="15.75" customHeight="1">
      <c r="C264" s="102"/>
      <c r="J264" s="225"/>
    </row>
    <row r="265" ht="15.75" customHeight="1">
      <c r="C265" s="102"/>
      <c r="J265" s="225"/>
    </row>
    <row r="266" ht="15.75" customHeight="1">
      <c r="C266" s="102"/>
      <c r="J266" s="225"/>
    </row>
    <row r="267" ht="15.75" customHeight="1">
      <c r="C267" s="102"/>
      <c r="J267" s="225"/>
    </row>
    <row r="268" ht="15.75" customHeight="1">
      <c r="C268" s="102"/>
      <c r="J268" s="225"/>
    </row>
    <row r="269" ht="15.75" customHeight="1">
      <c r="C269" s="102"/>
      <c r="J269" s="225"/>
    </row>
    <row r="270" ht="15.75" customHeight="1">
      <c r="C270" s="102"/>
      <c r="J270" s="225"/>
    </row>
    <row r="271" ht="15.75" customHeight="1">
      <c r="C271" s="102"/>
      <c r="J271" s="225"/>
    </row>
    <row r="272" ht="15.75" customHeight="1">
      <c r="C272" s="102"/>
      <c r="J272" s="225"/>
    </row>
    <row r="273" ht="15.75" customHeight="1">
      <c r="C273" s="102"/>
      <c r="J273" s="225"/>
    </row>
    <row r="274" ht="15.75" customHeight="1">
      <c r="C274" s="102"/>
      <c r="J274" s="225"/>
    </row>
    <row r="275" ht="15.75" customHeight="1">
      <c r="C275" s="102"/>
      <c r="J275" s="225"/>
    </row>
    <row r="276" ht="15.75" customHeight="1">
      <c r="C276" s="102"/>
      <c r="J276" s="225"/>
    </row>
    <row r="277" ht="15.75" customHeight="1">
      <c r="C277" s="102"/>
      <c r="J277" s="225"/>
    </row>
    <row r="278" ht="15.75" customHeight="1">
      <c r="C278" s="102"/>
      <c r="J278" s="225"/>
    </row>
    <row r="279" ht="15.75" customHeight="1">
      <c r="C279" s="102"/>
      <c r="J279" s="225"/>
    </row>
    <row r="280" ht="15.75" customHeight="1">
      <c r="C280" s="102"/>
      <c r="J280" s="225"/>
    </row>
    <row r="281" ht="15.75" customHeight="1">
      <c r="C281" s="102"/>
      <c r="J281" s="225"/>
    </row>
    <row r="282" ht="15.75" customHeight="1">
      <c r="C282" s="102"/>
      <c r="J282" s="225"/>
    </row>
    <row r="283" ht="15.75" customHeight="1">
      <c r="C283" s="102"/>
      <c r="J283" s="225"/>
    </row>
    <row r="284" ht="15.75" customHeight="1">
      <c r="C284" s="102"/>
      <c r="J284" s="225"/>
    </row>
    <row r="285" ht="15.75" customHeight="1">
      <c r="C285" s="102"/>
      <c r="J285" s="225"/>
    </row>
    <row r="286" ht="15.75" customHeight="1">
      <c r="C286" s="102"/>
      <c r="J286" s="225"/>
    </row>
    <row r="287" ht="15.75" customHeight="1">
      <c r="C287" s="102"/>
      <c r="J287" s="225"/>
    </row>
    <row r="288" ht="15.75" customHeight="1">
      <c r="C288" s="102"/>
      <c r="J288" s="225"/>
    </row>
    <row r="289" ht="15.75" customHeight="1">
      <c r="C289" s="102"/>
      <c r="J289" s="225"/>
    </row>
    <row r="290" ht="15.75" customHeight="1">
      <c r="C290" s="102"/>
      <c r="J290" s="225"/>
    </row>
    <row r="291" ht="15.75" customHeight="1">
      <c r="C291" s="102"/>
      <c r="J291" s="225"/>
    </row>
    <row r="292" ht="15.75" customHeight="1">
      <c r="C292" s="102"/>
      <c r="J292" s="225"/>
    </row>
    <row r="293" ht="15.75" customHeight="1">
      <c r="C293" s="102"/>
      <c r="J293" s="225"/>
    </row>
    <row r="294" ht="15.75" customHeight="1">
      <c r="C294" s="102"/>
      <c r="J294" s="225"/>
    </row>
    <row r="295" ht="15.75" customHeight="1">
      <c r="C295" s="102"/>
      <c r="J295" s="225"/>
    </row>
    <row r="296" ht="15.75" customHeight="1">
      <c r="C296" s="102"/>
      <c r="J296" s="225"/>
    </row>
    <row r="297" ht="15.75" customHeight="1">
      <c r="C297" s="102"/>
      <c r="J297" s="225"/>
    </row>
    <row r="298" ht="15.75" customHeight="1">
      <c r="C298" s="102"/>
      <c r="J298" s="225"/>
    </row>
    <row r="299" ht="15.75" customHeight="1">
      <c r="C299" s="102"/>
      <c r="J299" s="225"/>
    </row>
    <row r="300" ht="15.75" customHeight="1">
      <c r="C300" s="102"/>
      <c r="J300" s="225"/>
    </row>
    <row r="301" ht="15.75" customHeight="1">
      <c r="C301" s="102"/>
      <c r="J301" s="225"/>
    </row>
    <row r="302" ht="15.75" customHeight="1">
      <c r="C302" s="102"/>
      <c r="J302" s="225"/>
    </row>
    <row r="303" ht="15.75" customHeight="1">
      <c r="C303" s="102"/>
      <c r="J303" s="225"/>
    </row>
    <row r="304" ht="15.75" customHeight="1">
      <c r="C304" s="102"/>
      <c r="J304" s="225"/>
    </row>
    <row r="305" ht="15.75" customHeight="1">
      <c r="C305" s="102"/>
      <c r="J305" s="225"/>
    </row>
    <row r="306" ht="15.75" customHeight="1">
      <c r="C306" s="102"/>
      <c r="J306" s="225"/>
    </row>
    <row r="307" ht="15.75" customHeight="1">
      <c r="C307" s="102"/>
      <c r="J307" s="225"/>
    </row>
    <row r="308" ht="15.75" customHeight="1">
      <c r="C308" s="102"/>
      <c r="J308" s="225"/>
    </row>
    <row r="309" ht="15.75" customHeight="1">
      <c r="C309" s="102"/>
      <c r="J309" s="225"/>
    </row>
    <row r="310" ht="15.75" customHeight="1">
      <c r="C310" s="102"/>
      <c r="J310" s="225"/>
    </row>
    <row r="311" ht="15.75" customHeight="1">
      <c r="C311" s="102"/>
      <c r="J311" s="225"/>
    </row>
    <row r="312" ht="15.75" customHeight="1">
      <c r="C312" s="102"/>
      <c r="J312" s="225"/>
    </row>
    <row r="313" ht="15.75" customHeight="1">
      <c r="C313" s="102"/>
      <c r="J313" s="225"/>
    </row>
    <row r="314" ht="15.75" customHeight="1">
      <c r="C314" s="102"/>
      <c r="J314" s="225"/>
    </row>
    <row r="315" ht="15.75" customHeight="1">
      <c r="C315" s="102"/>
      <c r="J315" s="225"/>
    </row>
    <row r="316" ht="15.75" customHeight="1">
      <c r="C316" s="102"/>
      <c r="J316" s="225"/>
    </row>
    <row r="317" ht="15.75" customHeight="1">
      <c r="C317" s="102"/>
      <c r="J317" s="225"/>
    </row>
    <row r="318" ht="15.75" customHeight="1">
      <c r="C318" s="102"/>
      <c r="J318" s="225"/>
    </row>
    <row r="319" ht="15.75" customHeight="1">
      <c r="C319" s="102"/>
      <c r="J319" s="225"/>
    </row>
    <row r="320" ht="15.75" customHeight="1">
      <c r="C320" s="102"/>
      <c r="J320" s="225"/>
    </row>
    <row r="321" ht="15.75" customHeight="1">
      <c r="C321" s="102"/>
      <c r="J321" s="225"/>
    </row>
    <row r="322" ht="15.75" customHeight="1">
      <c r="C322" s="102"/>
      <c r="J322" s="225"/>
    </row>
    <row r="323" ht="15.75" customHeight="1">
      <c r="C323" s="102"/>
      <c r="J323" s="225"/>
    </row>
    <row r="324" ht="15.75" customHeight="1">
      <c r="C324" s="102"/>
      <c r="J324" s="225"/>
    </row>
    <row r="325" ht="15.75" customHeight="1">
      <c r="C325" s="102"/>
      <c r="J325" s="225"/>
    </row>
    <row r="326" ht="15.75" customHeight="1">
      <c r="C326" s="102"/>
      <c r="J326" s="225"/>
    </row>
    <row r="327" ht="15.75" customHeight="1">
      <c r="C327" s="102"/>
      <c r="J327" s="225"/>
    </row>
    <row r="328" ht="15.75" customHeight="1">
      <c r="C328" s="102"/>
      <c r="J328" s="225"/>
    </row>
    <row r="329" ht="15.75" customHeight="1">
      <c r="C329" s="102"/>
      <c r="J329" s="225"/>
    </row>
    <row r="330" ht="15.75" customHeight="1">
      <c r="C330" s="102"/>
      <c r="J330" s="225"/>
    </row>
    <row r="331" ht="15.75" customHeight="1">
      <c r="C331" s="102"/>
      <c r="J331" s="225"/>
    </row>
    <row r="332" ht="15.75" customHeight="1">
      <c r="C332" s="102"/>
      <c r="J332" s="225"/>
    </row>
    <row r="333" ht="15.75" customHeight="1">
      <c r="C333" s="102"/>
      <c r="J333" s="225"/>
    </row>
    <row r="334" ht="15.75" customHeight="1">
      <c r="C334" s="102"/>
      <c r="J334" s="225"/>
    </row>
    <row r="335" ht="15.75" customHeight="1">
      <c r="C335" s="102"/>
      <c r="J335" s="225"/>
    </row>
    <row r="336" ht="15.75" customHeight="1">
      <c r="C336" s="102"/>
      <c r="J336" s="225"/>
    </row>
    <row r="337" ht="15.75" customHeight="1">
      <c r="C337" s="102"/>
      <c r="J337" s="225"/>
    </row>
    <row r="338" ht="15.75" customHeight="1">
      <c r="C338" s="102"/>
      <c r="J338" s="225"/>
    </row>
    <row r="339" ht="15.75" customHeight="1">
      <c r="C339" s="102"/>
      <c r="J339" s="225"/>
    </row>
    <row r="340" ht="15.75" customHeight="1">
      <c r="C340" s="102"/>
      <c r="J340" s="225"/>
    </row>
    <row r="341" ht="15.75" customHeight="1">
      <c r="C341" s="102"/>
      <c r="J341" s="225"/>
    </row>
    <row r="342" ht="15.75" customHeight="1">
      <c r="C342" s="102"/>
      <c r="J342" s="225"/>
    </row>
    <row r="343" ht="15.75" customHeight="1">
      <c r="C343" s="102"/>
      <c r="J343" s="225"/>
    </row>
    <row r="344" ht="15.75" customHeight="1">
      <c r="C344" s="102"/>
      <c r="J344" s="225"/>
    </row>
    <row r="345" ht="15.75" customHeight="1">
      <c r="C345" s="102"/>
      <c r="J345" s="225"/>
    </row>
    <row r="346" ht="15.75" customHeight="1">
      <c r="C346" s="102"/>
      <c r="J346" s="225"/>
    </row>
    <row r="347" ht="15.75" customHeight="1">
      <c r="C347" s="102"/>
      <c r="J347" s="225"/>
    </row>
    <row r="348" ht="15.75" customHeight="1">
      <c r="C348" s="102"/>
      <c r="J348" s="225"/>
    </row>
    <row r="349" ht="15.75" customHeight="1">
      <c r="C349" s="102"/>
      <c r="J349" s="225"/>
    </row>
    <row r="350" ht="15.75" customHeight="1">
      <c r="C350" s="102"/>
      <c r="J350" s="225"/>
    </row>
    <row r="351" ht="15.75" customHeight="1">
      <c r="C351" s="102"/>
      <c r="J351" s="225"/>
    </row>
    <row r="352" ht="15.75" customHeight="1">
      <c r="C352" s="102"/>
      <c r="J352" s="225"/>
    </row>
    <row r="353" ht="15.75" customHeight="1">
      <c r="C353" s="102"/>
      <c r="J353" s="225"/>
    </row>
    <row r="354" ht="15.75" customHeight="1">
      <c r="C354" s="102"/>
      <c r="J354" s="225"/>
    </row>
    <row r="355" ht="15.75" customHeight="1">
      <c r="C355" s="102"/>
      <c r="J355" s="225"/>
    </row>
    <row r="356" ht="15.75" customHeight="1">
      <c r="C356" s="102"/>
      <c r="J356" s="225"/>
    </row>
    <row r="357" ht="15.75" customHeight="1">
      <c r="C357" s="102"/>
      <c r="J357" s="225"/>
    </row>
    <row r="358" ht="15.75" customHeight="1">
      <c r="C358" s="102"/>
      <c r="J358" s="225"/>
    </row>
    <row r="359" ht="15.75" customHeight="1">
      <c r="C359" s="102"/>
      <c r="J359" s="225"/>
    </row>
    <row r="360" ht="15.75" customHeight="1">
      <c r="C360" s="102"/>
      <c r="J360" s="225"/>
    </row>
    <row r="361" ht="15.75" customHeight="1">
      <c r="C361" s="102"/>
      <c r="J361" s="225"/>
    </row>
    <row r="362" ht="15.75" customHeight="1">
      <c r="C362" s="102"/>
      <c r="J362" s="225"/>
    </row>
    <row r="363" ht="15.75" customHeight="1">
      <c r="C363" s="102"/>
      <c r="J363" s="225"/>
    </row>
    <row r="364" ht="15.75" customHeight="1">
      <c r="C364" s="102"/>
      <c r="J364" s="225"/>
    </row>
    <row r="365" ht="15.75" customHeight="1">
      <c r="C365" s="102"/>
      <c r="J365" s="225"/>
    </row>
    <row r="366" ht="15.75" customHeight="1">
      <c r="C366" s="102"/>
      <c r="J366" s="225"/>
    </row>
    <row r="367" ht="15.75" customHeight="1">
      <c r="C367" s="102"/>
      <c r="J367" s="225"/>
    </row>
    <row r="368" ht="15.75" customHeight="1">
      <c r="C368" s="102"/>
      <c r="J368" s="225"/>
    </row>
    <row r="369" ht="15.75" customHeight="1">
      <c r="C369" s="102"/>
      <c r="J369" s="225"/>
    </row>
    <row r="370" ht="15.75" customHeight="1">
      <c r="C370" s="102"/>
      <c r="J370" s="225"/>
    </row>
    <row r="371" ht="15.75" customHeight="1">
      <c r="C371" s="102"/>
      <c r="J371" s="225"/>
    </row>
    <row r="372" ht="15.75" customHeight="1">
      <c r="C372" s="102"/>
      <c r="J372" s="225"/>
    </row>
    <row r="373" ht="15.75" customHeight="1">
      <c r="C373" s="102"/>
      <c r="J373" s="225"/>
    </row>
    <row r="374" ht="15.75" customHeight="1">
      <c r="C374" s="102"/>
      <c r="J374" s="225"/>
    </row>
    <row r="375" ht="15.75" customHeight="1">
      <c r="C375" s="102"/>
      <c r="J375" s="225"/>
    </row>
    <row r="376" ht="15.75" customHeight="1">
      <c r="C376" s="102"/>
      <c r="J376" s="225"/>
    </row>
    <row r="377" ht="15.75" customHeight="1">
      <c r="C377" s="102"/>
      <c r="J377" s="225"/>
    </row>
    <row r="378" ht="15.75" customHeight="1">
      <c r="C378" s="102"/>
      <c r="J378" s="225"/>
    </row>
    <row r="379" ht="15.75" customHeight="1">
      <c r="C379" s="102"/>
      <c r="J379" s="225"/>
    </row>
    <row r="380" ht="15.75" customHeight="1">
      <c r="C380" s="102"/>
      <c r="J380" s="225"/>
    </row>
    <row r="381" ht="15.75" customHeight="1">
      <c r="C381" s="102"/>
      <c r="J381" s="225"/>
    </row>
    <row r="382" ht="15.75" customHeight="1">
      <c r="C382" s="102"/>
      <c r="J382" s="225"/>
    </row>
    <row r="383" ht="15.75" customHeight="1">
      <c r="C383" s="102"/>
      <c r="J383" s="225"/>
    </row>
    <row r="384" ht="15.75" customHeight="1">
      <c r="C384" s="102"/>
      <c r="J384" s="225"/>
    </row>
    <row r="385" ht="15.75" customHeight="1">
      <c r="C385" s="102"/>
      <c r="J385" s="225"/>
    </row>
    <row r="386" ht="15.75" customHeight="1">
      <c r="C386" s="102"/>
      <c r="J386" s="225"/>
    </row>
    <row r="387" ht="15.75" customHeight="1">
      <c r="C387" s="102"/>
      <c r="J387" s="225"/>
    </row>
    <row r="388" ht="15.75" customHeight="1">
      <c r="C388" s="102"/>
      <c r="J388" s="225"/>
    </row>
    <row r="389" ht="15.75" customHeight="1">
      <c r="C389" s="102"/>
      <c r="J389" s="225"/>
    </row>
    <row r="390" ht="15.75" customHeight="1">
      <c r="C390" s="102"/>
      <c r="J390" s="225"/>
    </row>
    <row r="391" ht="15.75" customHeight="1">
      <c r="C391" s="102"/>
      <c r="J391" s="225"/>
    </row>
    <row r="392" ht="15.75" customHeight="1">
      <c r="C392" s="102"/>
      <c r="J392" s="225"/>
    </row>
    <row r="393" ht="15.75" customHeight="1">
      <c r="C393" s="102"/>
      <c r="J393" s="225"/>
    </row>
    <row r="394" ht="15.75" customHeight="1">
      <c r="C394" s="102"/>
      <c r="J394" s="225"/>
    </row>
    <row r="395" ht="15.75" customHeight="1">
      <c r="C395" s="102"/>
      <c r="J395" s="225"/>
    </row>
    <row r="396" ht="15.75" customHeight="1">
      <c r="C396" s="102"/>
      <c r="J396" s="225"/>
    </row>
    <row r="397" ht="15.75" customHeight="1">
      <c r="C397" s="102"/>
      <c r="J397" s="225"/>
    </row>
    <row r="398" ht="15.75" customHeight="1">
      <c r="C398" s="102"/>
      <c r="J398" s="225"/>
    </row>
    <row r="399" ht="15.75" customHeight="1">
      <c r="C399" s="102"/>
      <c r="J399" s="225"/>
    </row>
    <row r="400" ht="15.75" customHeight="1">
      <c r="C400" s="102"/>
      <c r="J400" s="225"/>
    </row>
    <row r="401" ht="15.75" customHeight="1">
      <c r="C401" s="102"/>
      <c r="J401" s="225"/>
    </row>
    <row r="402" ht="15.75" customHeight="1">
      <c r="C402" s="102"/>
      <c r="J402" s="225"/>
    </row>
    <row r="403" ht="15.75" customHeight="1">
      <c r="C403" s="102"/>
      <c r="J403" s="225"/>
    </row>
    <row r="404" ht="15.75" customHeight="1">
      <c r="C404" s="102"/>
      <c r="J404" s="225"/>
    </row>
    <row r="405" ht="15.75" customHeight="1">
      <c r="C405" s="102"/>
      <c r="J405" s="225"/>
    </row>
    <row r="406" ht="15.75" customHeight="1">
      <c r="C406" s="102"/>
      <c r="J406" s="225"/>
    </row>
    <row r="407" ht="15.75" customHeight="1">
      <c r="C407" s="102"/>
      <c r="J407" s="225"/>
    </row>
    <row r="408" ht="15.75" customHeight="1">
      <c r="C408" s="102"/>
      <c r="J408" s="225"/>
    </row>
    <row r="409" ht="15.75" customHeight="1">
      <c r="C409" s="102"/>
      <c r="J409" s="225"/>
    </row>
    <row r="410" ht="15.75" customHeight="1">
      <c r="C410" s="102"/>
      <c r="J410" s="225"/>
    </row>
    <row r="411" ht="15.75" customHeight="1">
      <c r="C411" s="102"/>
      <c r="J411" s="225"/>
    </row>
    <row r="412" ht="15.75" customHeight="1">
      <c r="C412" s="102"/>
      <c r="J412" s="225"/>
    </row>
    <row r="413" ht="15.75" customHeight="1">
      <c r="C413" s="102"/>
      <c r="J413" s="225"/>
    </row>
    <row r="414" ht="15.75" customHeight="1">
      <c r="C414" s="102"/>
      <c r="J414" s="225"/>
    </row>
    <row r="415" ht="15.75" customHeight="1">
      <c r="C415" s="102"/>
      <c r="J415" s="225"/>
    </row>
    <row r="416" ht="15.75" customHeight="1">
      <c r="C416" s="102"/>
      <c r="J416" s="225"/>
    </row>
    <row r="417" ht="15.75" customHeight="1">
      <c r="C417" s="102"/>
      <c r="J417" s="225"/>
    </row>
    <row r="418" ht="15.75" customHeight="1">
      <c r="C418" s="102"/>
      <c r="J418" s="225"/>
    </row>
    <row r="419" ht="15.75" customHeight="1">
      <c r="C419" s="102"/>
      <c r="J419" s="225"/>
    </row>
    <row r="420" ht="15.75" customHeight="1">
      <c r="C420" s="102"/>
      <c r="J420" s="225"/>
    </row>
    <row r="421" ht="15.75" customHeight="1">
      <c r="C421" s="102"/>
      <c r="J421" s="225"/>
    </row>
    <row r="422" ht="15.75" customHeight="1">
      <c r="C422" s="102"/>
      <c r="J422" s="225"/>
    </row>
    <row r="423" ht="15.75" customHeight="1">
      <c r="C423" s="102"/>
      <c r="J423" s="225"/>
    </row>
    <row r="424" ht="15.75" customHeight="1">
      <c r="C424" s="102"/>
      <c r="J424" s="225"/>
    </row>
    <row r="425" ht="15.75" customHeight="1">
      <c r="C425" s="102"/>
      <c r="J425" s="225"/>
    </row>
    <row r="426" ht="15.75" customHeight="1">
      <c r="C426" s="102"/>
      <c r="J426" s="225"/>
    </row>
    <row r="427" ht="15.75" customHeight="1">
      <c r="C427" s="102"/>
      <c r="J427" s="225"/>
    </row>
    <row r="428" ht="15.75" customHeight="1">
      <c r="C428" s="102"/>
      <c r="J428" s="225"/>
    </row>
    <row r="429" ht="15.75" customHeight="1">
      <c r="C429" s="102"/>
      <c r="J429" s="225"/>
    </row>
    <row r="430" ht="15.75" customHeight="1">
      <c r="C430" s="102"/>
      <c r="J430" s="225"/>
    </row>
    <row r="431" ht="15.75" customHeight="1">
      <c r="C431" s="102"/>
      <c r="J431" s="225"/>
    </row>
    <row r="432" ht="15.75" customHeight="1">
      <c r="C432" s="102"/>
      <c r="J432" s="225"/>
    </row>
    <row r="433" ht="15.75" customHeight="1">
      <c r="C433" s="102"/>
      <c r="J433" s="225"/>
    </row>
    <row r="434" ht="15.75" customHeight="1">
      <c r="C434" s="102"/>
      <c r="J434" s="225"/>
    </row>
    <row r="435" ht="15.75" customHeight="1">
      <c r="C435" s="102"/>
      <c r="J435" s="225"/>
    </row>
    <row r="436" ht="15.75" customHeight="1">
      <c r="C436" s="102"/>
      <c r="J436" s="225"/>
    </row>
    <row r="437" ht="15.75" customHeight="1">
      <c r="C437" s="102"/>
      <c r="J437" s="225"/>
    </row>
    <row r="438" ht="15.75" customHeight="1">
      <c r="C438" s="102"/>
      <c r="J438" s="225"/>
    </row>
    <row r="439" ht="15.75" customHeight="1">
      <c r="C439" s="102"/>
      <c r="J439" s="225"/>
    </row>
    <row r="440" ht="15.75" customHeight="1">
      <c r="C440" s="102"/>
      <c r="J440" s="225"/>
    </row>
    <row r="441" ht="15.75" customHeight="1">
      <c r="C441" s="102"/>
      <c r="J441" s="225"/>
    </row>
    <row r="442" ht="15.75" customHeight="1">
      <c r="C442" s="102"/>
      <c r="J442" s="225"/>
    </row>
    <row r="443" ht="15.75" customHeight="1">
      <c r="C443" s="102"/>
      <c r="J443" s="225"/>
    </row>
    <row r="444" ht="15.75" customHeight="1">
      <c r="C444" s="102"/>
      <c r="J444" s="225"/>
    </row>
    <row r="445" ht="15.75" customHeight="1">
      <c r="C445" s="102"/>
      <c r="J445" s="225"/>
    </row>
    <row r="446" ht="15.75" customHeight="1">
      <c r="C446" s="102"/>
      <c r="J446" s="225"/>
    </row>
    <row r="447" ht="15.75" customHeight="1">
      <c r="C447" s="102"/>
      <c r="J447" s="225"/>
    </row>
    <row r="448" ht="15.75" customHeight="1">
      <c r="C448" s="102"/>
      <c r="J448" s="225"/>
    </row>
    <row r="449" ht="15.75" customHeight="1">
      <c r="C449" s="102"/>
      <c r="J449" s="225"/>
    </row>
    <row r="450" ht="15.75" customHeight="1">
      <c r="C450" s="102"/>
      <c r="J450" s="225"/>
    </row>
    <row r="451" ht="15.75" customHeight="1">
      <c r="C451" s="102"/>
      <c r="J451" s="225"/>
    </row>
    <row r="452" ht="15.75" customHeight="1">
      <c r="C452" s="102"/>
      <c r="J452" s="225"/>
    </row>
    <row r="453" ht="15.75" customHeight="1">
      <c r="C453" s="102"/>
      <c r="J453" s="225"/>
    </row>
    <row r="454" ht="15.75" customHeight="1">
      <c r="C454" s="102"/>
      <c r="J454" s="225"/>
    </row>
    <row r="455" ht="15.75" customHeight="1">
      <c r="C455" s="102"/>
      <c r="J455" s="225"/>
    </row>
    <row r="456" ht="15.75" customHeight="1">
      <c r="C456" s="102"/>
      <c r="J456" s="225"/>
    </row>
    <row r="457" ht="15.75" customHeight="1">
      <c r="C457" s="102"/>
      <c r="J457" s="225"/>
    </row>
    <row r="458" ht="15.75" customHeight="1">
      <c r="C458" s="102"/>
      <c r="J458" s="225"/>
    </row>
    <row r="459" ht="15.75" customHeight="1">
      <c r="C459" s="102"/>
      <c r="J459" s="225"/>
    </row>
    <row r="460" ht="15.75" customHeight="1">
      <c r="C460" s="102"/>
      <c r="J460" s="225"/>
    </row>
    <row r="461" ht="15.75" customHeight="1">
      <c r="C461" s="102"/>
      <c r="J461" s="225"/>
    </row>
    <row r="462" ht="15.75" customHeight="1">
      <c r="C462" s="102"/>
      <c r="J462" s="225"/>
    </row>
    <row r="463" ht="15.75" customHeight="1">
      <c r="C463" s="102"/>
      <c r="J463" s="225"/>
    </row>
    <row r="464" ht="15.75" customHeight="1">
      <c r="C464" s="102"/>
      <c r="J464" s="225"/>
    </row>
    <row r="465" ht="15.75" customHeight="1">
      <c r="C465" s="102"/>
      <c r="J465" s="225"/>
    </row>
    <row r="466" ht="15.75" customHeight="1">
      <c r="C466" s="102"/>
      <c r="J466" s="225"/>
    </row>
    <row r="467" ht="15.75" customHeight="1">
      <c r="C467" s="102"/>
      <c r="J467" s="225"/>
    </row>
    <row r="468" ht="15.75" customHeight="1">
      <c r="C468" s="102"/>
      <c r="J468" s="225"/>
    </row>
    <row r="469" ht="15.75" customHeight="1">
      <c r="C469" s="102"/>
      <c r="J469" s="225"/>
    </row>
    <row r="470" ht="15.75" customHeight="1">
      <c r="C470" s="102"/>
      <c r="J470" s="225"/>
    </row>
    <row r="471" ht="15.75" customHeight="1">
      <c r="C471" s="102"/>
      <c r="J471" s="225"/>
    </row>
    <row r="472" ht="15.75" customHeight="1">
      <c r="C472" s="102"/>
      <c r="J472" s="225"/>
    </row>
    <row r="473" ht="15.75" customHeight="1">
      <c r="C473" s="102"/>
      <c r="J473" s="225"/>
    </row>
    <row r="474" ht="15.75" customHeight="1">
      <c r="C474" s="102"/>
      <c r="J474" s="225"/>
    </row>
    <row r="475" ht="15.75" customHeight="1">
      <c r="C475" s="102"/>
      <c r="J475" s="225"/>
    </row>
    <row r="476" ht="15.75" customHeight="1">
      <c r="C476" s="102"/>
      <c r="J476" s="225"/>
    </row>
    <row r="477" ht="15.75" customHeight="1">
      <c r="C477" s="102"/>
      <c r="J477" s="225"/>
    </row>
    <row r="478" ht="15.75" customHeight="1">
      <c r="C478" s="102"/>
      <c r="J478" s="225"/>
    </row>
    <row r="479" ht="15.75" customHeight="1">
      <c r="C479" s="102"/>
      <c r="J479" s="225"/>
    </row>
    <row r="480" ht="15.75" customHeight="1">
      <c r="C480" s="102"/>
      <c r="J480" s="225"/>
    </row>
    <row r="481" ht="15.75" customHeight="1">
      <c r="C481" s="102"/>
      <c r="J481" s="225"/>
    </row>
    <row r="482" ht="15.75" customHeight="1">
      <c r="C482" s="102"/>
      <c r="J482" s="225"/>
    </row>
    <row r="483" ht="15.75" customHeight="1">
      <c r="C483" s="102"/>
      <c r="J483" s="225"/>
    </row>
    <row r="484" ht="15.75" customHeight="1">
      <c r="C484" s="102"/>
      <c r="J484" s="225"/>
    </row>
    <row r="485" ht="15.75" customHeight="1">
      <c r="C485" s="102"/>
      <c r="J485" s="225"/>
    </row>
    <row r="486" ht="15.75" customHeight="1">
      <c r="C486" s="102"/>
      <c r="J486" s="225"/>
    </row>
    <row r="487" ht="15.75" customHeight="1">
      <c r="C487" s="102"/>
      <c r="J487" s="225"/>
    </row>
    <row r="488" ht="15.75" customHeight="1">
      <c r="C488" s="102"/>
      <c r="J488" s="225"/>
    </row>
    <row r="489" ht="15.75" customHeight="1">
      <c r="C489" s="102"/>
      <c r="J489" s="225"/>
    </row>
    <row r="490" ht="15.75" customHeight="1">
      <c r="C490" s="102"/>
      <c r="J490" s="225"/>
    </row>
    <row r="491" ht="15.75" customHeight="1">
      <c r="C491" s="102"/>
      <c r="J491" s="225"/>
    </row>
    <row r="492" ht="15.75" customHeight="1">
      <c r="C492" s="102"/>
      <c r="J492" s="225"/>
    </row>
    <row r="493" ht="15.75" customHeight="1">
      <c r="C493" s="102"/>
      <c r="J493" s="225"/>
    </row>
    <row r="494" ht="15.75" customHeight="1">
      <c r="C494" s="102"/>
      <c r="J494" s="225"/>
    </row>
    <row r="495" ht="15.75" customHeight="1">
      <c r="C495" s="102"/>
      <c r="J495" s="225"/>
    </row>
    <row r="496" ht="15.75" customHeight="1">
      <c r="C496" s="102"/>
      <c r="J496" s="225"/>
    </row>
    <row r="497" ht="15.75" customHeight="1">
      <c r="C497" s="102"/>
      <c r="J497" s="225"/>
    </row>
    <row r="498" ht="15.75" customHeight="1">
      <c r="C498" s="102"/>
      <c r="J498" s="225"/>
    </row>
    <row r="499" ht="15.75" customHeight="1">
      <c r="C499" s="102"/>
      <c r="J499" s="225"/>
    </row>
    <row r="500" ht="15.75" customHeight="1">
      <c r="C500" s="102"/>
      <c r="J500" s="225"/>
    </row>
    <row r="501" ht="15.75" customHeight="1">
      <c r="C501" s="102"/>
      <c r="J501" s="225"/>
    </row>
    <row r="502" ht="15.75" customHeight="1">
      <c r="C502" s="102"/>
      <c r="J502" s="225"/>
    </row>
    <row r="503" ht="15.75" customHeight="1">
      <c r="C503" s="102"/>
      <c r="J503" s="225"/>
    </row>
    <row r="504" ht="15.75" customHeight="1">
      <c r="C504" s="102"/>
      <c r="J504" s="225"/>
    </row>
    <row r="505" ht="15.75" customHeight="1">
      <c r="C505" s="102"/>
      <c r="J505" s="225"/>
    </row>
    <row r="506" ht="15.75" customHeight="1">
      <c r="C506" s="102"/>
      <c r="J506" s="225"/>
    </row>
    <row r="507" ht="15.75" customHeight="1">
      <c r="C507" s="102"/>
      <c r="J507" s="225"/>
    </row>
    <row r="508" ht="15.75" customHeight="1">
      <c r="C508" s="102"/>
      <c r="J508" s="225"/>
    </row>
    <row r="509" ht="15.75" customHeight="1">
      <c r="C509" s="102"/>
      <c r="J509" s="225"/>
    </row>
    <row r="510" ht="15.75" customHeight="1">
      <c r="C510" s="102"/>
      <c r="J510" s="225"/>
    </row>
    <row r="511" ht="15.75" customHeight="1">
      <c r="C511" s="102"/>
      <c r="J511" s="225"/>
    </row>
    <row r="512" ht="15.75" customHeight="1">
      <c r="C512" s="102"/>
      <c r="J512" s="225"/>
    </row>
    <row r="513" ht="15.75" customHeight="1">
      <c r="C513" s="102"/>
      <c r="J513" s="225"/>
    </row>
    <row r="514" ht="15.75" customHeight="1">
      <c r="C514" s="102"/>
      <c r="J514" s="225"/>
    </row>
    <row r="515" ht="15.75" customHeight="1">
      <c r="C515" s="102"/>
      <c r="J515" s="225"/>
    </row>
    <row r="516" ht="15.75" customHeight="1">
      <c r="C516" s="102"/>
      <c r="J516" s="225"/>
    </row>
    <row r="517" ht="15.75" customHeight="1">
      <c r="C517" s="102"/>
      <c r="J517" s="225"/>
    </row>
    <row r="518" ht="15.75" customHeight="1">
      <c r="C518" s="102"/>
      <c r="J518" s="225"/>
    </row>
    <row r="519" ht="15.75" customHeight="1">
      <c r="C519" s="102"/>
      <c r="J519" s="225"/>
    </row>
    <row r="520" ht="15.75" customHeight="1">
      <c r="C520" s="102"/>
      <c r="J520" s="225"/>
    </row>
    <row r="521" ht="15.75" customHeight="1">
      <c r="C521" s="102"/>
      <c r="J521" s="225"/>
    </row>
    <row r="522" ht="15.75" customHeight="1">
      <c r="C522" s="102"/>
      <c r="J522" s="225"/>
    </row>
    <row r="523" ht="15.75" customHeight="1">
      <c r="C523" s="102"/>
      <c r="J523" s="225"/>
    </row>
    <row r="524" ht="15.75" customHeight="1">
      <c r="C524" s="102"/>
      <c r="J524" s="225"/>
    </row>
    <row r="525" ht="15.75" customHeight="1">
      <c r="C525" s="102"/>
      <c r="J525" s="225"/>
    </row>
    <row r="526" ht="15.75" customHeight="1">
      <c r="C526" s="102"/>
      <c r="J526" s="225"/>
    </row>
    <row r="527" ht="15.75" customHeight="1">
      <c r="C527" s="102"/>
      <c r="J527" s="225"/>
    </row>
    <row r="528" ht="15.75" customHeight="1">
      <c r="C528" s="102"/>
      <c r="J528" s="225"/>
    </row>
    <row r="529" ht="15.75" customHeight="1">
      <c r="C529" s="102"/>
      <c r="J529" s="225"/>
    </row>
    <row r="530" ht="15.75" customHeight="1">
      <c r="C530" s="102"/>
      <c r="J530" s="225"/>
    </row>
    <row r="531" ht="15.75" customHeight="1">
      <c r="C531" s="102"/>
      <c r="J531" s="225"/>
    </row>
    <row r="532" ht="15.75" customHeight="1">
      <c r="C532" s="102"/>
      <c r="J532" s="225"/>
    </row>
    <row r="533" ht="15.75" customHeight="1">
      <c r="C533" s="102"/>
      <c r="J533" s="225"/>
    </row>
    <row r="534" ht="15.75" customHeight="1">
      <c r="C534" s="102"/>
      <c r="J534" s="225"/>
    </row>
    <row r="535" ht="15.75" customHeight="1">
      <c r="C535" s="102"/>
      <c r="J535" s="225"/>
    </row>
    <row r="536" ht="15.75" customHeight="1">
      <c r="C536" s="102"/>
      <c r="J536" s="225"/>
    </row>
    <row r="537" ht="15.75" customHeight="1">
      <c r="C537" s="102"/>
      <c r="J537" s="225"/>
    </row>
    <row r="538" ht="15.75" customHeight="1">
      <c r="C538" s="102"/>
      <c r="J538" s="225"/>
    </row>
    <row r="539" ht="15.75" customHeight="1">
      <c r="C539" s="102"/>
      <c r="J539" s="225"/>
    </row>
    <row r="540" ht="15.75" customHeight="1">
      <c r="C540" s="102"/>
      <c r="J540" s="225"/>
    </row>
    <row r="541" ht="15.75" customHeight="1">
      <c r="C541" s="102"/>
      <c r="J541" s="225"/>
    </row>
    <row r="542" ht="15.75" customHeight="1">
      <c r="C542" s="102"/>
      <c r="J542" s="225"/>
    </row>
    <row r="543" ht="15.75" customHeight="1">
      <c r="C543" s="102"/>
      <c r="J543" s="225"/>
    </row>
    <row r="544" ht="15.75" customHeight="1">
      <c r="C544" s="102"/>
      <c r="J544" s="225"/>
    </row>
    <row r="545" ht="15.75" customHeight="1">
      <c r="C545" s="102"/>
      <c r="J545" s="225"/>
    </row>
    <row r="546" ht="15.75" customHeight="1">
      <c r="C546" s="102"/>
      <c r="J546" s="225"/>
    </row>
    <row r="547" ht="15.75" customHeight="1">
      <c r="C547" s="102"/>
      <c r="J547" s="225"/>
    </row>
    <row r="548" ht="15.75" customHeight="1">
      <c r="C548" s="102"/>
      <c r="J548" s="225"/>
    </row>
    <row r="549" ht="15.75" customHeight="1">
      <c r="C549" s="102"/>
      <c r="J549" s="225"/>
    </row>
    <row r="550" ht="15.75" customHeight="1">
      <c r="C550" s="102"/>
      <c r="J550" s="225"/>
    </row>
    <row r="551" ht="15.75" customHeight="1">
      <c r="C551" s="102"/>
      <c r="J551" s="225"/>
    </row>
    <row r="552" ht="15.75" customHeight="1">
      <c r="C552" s="102"/>
      <c r="J552" s="225"/>
    </row>
    <row r="553" ht="15.75" customHeight="1">
      <c r="C553" s="102"/>
      <c r="J553" s="225"/>
    </row>
    <row r="554" ht="15.75" customHeight="1">
      <c r="C554" s="102"/>
      <c r="J554" s="225"/>
    </row>
    <row r="555" ht="15.75" customHeight="1">
      <c r="C555" s="102"/>
      <c r="J555" s="225"/>
    </row>
    <row r="556" ht="15.75" customHeight="1">
      <c r="C556" s="102"/>
      <c r="J556" s="225"/>
    </row>
    <row r="557" ht="15.75" customHeight="1">
      <c r="C557" s="102"/>
      <c r="J557" s="225"/>
    </row>
    <row r="558" ht="15.75" customHeight="1">
      <c r="C558" s="102"/>
      <c r="J558" s="225"/>
    </row>
    <row r="559" ht="15.75" customHeight="1">
      <c r="C559" s="102"/>
      <c r="J559" s="225"/>
    </row>
    <row r="560" ht="15.75" customHeight="1">
      <c r="C560" s="102"/>
      <c r="J560" s="225"/>
    </row>
    <row r="561" ht="15.75" customHeight="1">
      <c r="C561" s="102"/>
      <c r="J561" s="225"/>
    </row>
    <row r="562" ht="15.75" customHeight="1">
      <c r="C562" s="102"/>
      <c r="J562" s="225"/>
    </row>
    <row r="563" ht="15.75" customHeight="1">
      <c r="C563" s="102"/>
      <c r="J563" s="225"/>
    </row>
    <row r="564" ht="15.75" customHeight="1">
      <c r="C564" s="102"/>
      <c r="J564" s="225"/>
    </row>
    <row r="565" ht="15.75" customHeight="1">
      <c r="C565" s="102"/>
      <c r="J565" s="225"/>
    </row>
    <row r="566" ht="15.75" customHeight="1">
      <c r="C566" s="102"/>
      <c r="J566" s="225"/>
    </row>
    <row r="567" ht="15.75" customHeight="1">
      <c r="C567" s="102"/>
      <c r="J567" s="225"/>
    </row>
    <row r="568" ht="15.75" customHeight="1">
      <c r="C568" s="102"/>
      <c r="J568" s="225"/>
    </row>
    <row r="569" ht="15.75" customHeight="1">
      <c r="C569" s="102"/>
      <c r="J569" s="225"/>
    </row>
    <row r="570" ht="15.75" customHeight="1">
      <c r="C570" s="102"/>
      <c r="J570" s="225"/>
    </row>
    <row r="571" ht="15.75" customHeight="1">
      <c r="C571" s="102"/>
      <c r="J571" s="225"/>
    </row>
    <row r="572" ht="15.75" customHeight="1">
      <c r="C572" s="102"/>
      <c r="J572" s="225"/>
    </row>
    <row r="573" ht="15.75" customHeight="1">
      <c r="C573" s="102"/>
      <c r="J573" s="225"/>
    </row>
    <row r="574" ht="15.75" customHeight="1">
      <c r="C574" s="102"/>
      <c r="J574" s="225"/>
    </row>
    <row r="575" ht="15.75" customHeight="1">
      <c r="C575" s="102"/>
      <c r="J575" s="225"/>
    </row>
    <row r="576" ht="15.75" customHeight="1">
      <c r="C576" s="102"/>
      <c r="J576" s="225"/>
    </row>
    <row r="577" ht="15.75" customHeight="1">
      <c r="C577" s="102"/>
      <c r="J577" s="225"/>
    </row>
    <row r="578" ht="15.75" customHeight="1">
      <c r="C578" s="102"/>
      <c r="J578" s="225"/>
    </row>
    <row r="579" ht="15.75" customHeight="1">
      <c r="C579" s="102"/>
      <c r="J579" s="225"/>
    </row>
    <row r="580" ht="15.75" customHeight="1">
      <c r="C580" s="102"/>
      <c r="J580" s="225"/>
    </row>
    <row r="581" ht="15.75" customHeight="1">
      <c r="C581" s="102"/>
      <c r="J581" s="225"/>
    </row>
    <row r="582" ht="15.75" customHeight="1">
      <c r="C582" s="102"/>
      <c r="J582" s="225"/>
    </row>
    <row r="583" ht="15.75" customHeight="1">
      <c r="C583" s="102"/>
      <c r="J583" s="225"/>
    </row>
    <row r="584" ht="15.75" customHeight="1">
      <c r="C584" s="102"/>
      <c r="J584" s="225"/>
    </row>
    <row r="585" ht="15.75" customHeight="1">
      <c r="C585" s="102"/>
      <c r="J585" s="225"/>
    </row>
    <row r="586" ht="15.75" customHeight="1">
      <c r="C586" s="102"/>
      <c r="J586" s="225"/>
    </row>
    <row r="587" ht="15.75" customHeight="1">
      <c r="C587" s="102"/>
      <c r="J587" s="225"/>
    </row>
    <row r="588" ht="15.75" customHeight="1">
      <c r="C588" s="102"/>
      <c r="J588" s="225"/>
    </row>
    <row r="589" ht="15.75" customHeight="1">
      <c r="C589" s="102"/>
      <c r="J589" s="225"/>
    </row>
    <row r="590" ht="15.75" customHeight="1">
      <c r="C590" s="102"/>
      <c r="J590" s="225"/>
    </row>
    <row r="591" ht="15.75" customHeight="1">
      <c r="C591" s="102"/>
      <c r="J591" s="225"/>
    </row>
    <row r="592" ht="15.75" customHeight="1">
      <c r="C592" s="102"/>
      <c r="J592" s="225"/>
    </row>
    <row r="593" ht="15.75" customHeight="1">
      <c r="C593" s="102"/>
      <c r="J593" s="225"/>
    </row>
    <row r="594" ht="15.75" customHeight="1">
      <c r="C594" s="102"/>
      <c r="J594" s="225"/>
    </row>
    <row r="595" ht="15.75" customHeight="1">
      <c r="C595" s="102"/>
      <c r="J595" s="225"/>
    </row>
    <row r="596" ht="15.75" customHeight="1">
      <c r="C596" s="102"/>
      <c r="J596" s="225"/>
    </row>
    <row r="597" ht="15.75" customHeight="1">
      <c r="C597" s="102"/>
      <c r="J597" s="225"/>
    </row>
    <row r="598" ht="15.75" customHeight="1">
      <c r="C598" s="102"/>
      <c r="J598" s="225"/>
    </row>
    <row r="599" ht="15.75" customHeight="1">
      <c r="C599" s="102"/>
      <c r="J599" s="225"/>
    </row>
    <row r="600" ht="15.75" customHeight="1">
      <c r="C600" s="102"/>
      <c r="J600" s="225"/>
    </row>
    <row r="601" ht="15.75" customHeight="1">
      <c r="C601" s="102"/>
      <c r="J601" s="225"/>
    </row>
    <row r="602" ht="15.75" customHeight="1">
      <c r="C602" s="102"/>
      <c r="J602" s="225"/>
    </row>
    <row r="603" ht="15.75" customHeight="1">
      <c r="C603" s="102"/>
      <c r="J603" s="225"/>
    </row>
    <row r="604" ht="15.75" customHeight="1">
      <c r="C604" s="102"/>
      <c r="J604" s="225"/>
    </row>
    <row r="605" ht="15.75" customHeight="1">
      <c r="C605" s="102"/>
      <c r="J605" s="225"/>
    </row>
    <row r="606" ht="15.75" customHeight="1">
      <c r="C606" s="102"/>
      <c r="J606" s="225"/>
    </row>
    <row r="607" ht="15.75" customHeight="1">
      <c r="C607" s="102"/>
      <c r="J607" s="225"/>
    </row>
    <row r="608" ht="15.75" customHeight="1">
      <c r="C608" s="102"/>
      <c r="J608" s="225"/>
    </row>
    <row r="609" ht="15.75" customHeight="1">
      <c r="C609" s="102"/>
      <c r="J609" s="225"/>
    </row>
    <row r="610" ht="15.75" customHeight="1">
      <c r="C610" s="102"/>
      <c r="J610" s="225"/>
    </row>
    <row r="611" ht="15.75" customHeight="1">
      <c r="C611" s="102"/>
      <c r="J611" s="225"/>
    </row>
    <row r="612" ht="15.75" customHeight="1">
      <c r="C612" s="102"/>
      <c r="J612" s="225"/>
    </row>
    <row r="613" ht="15.75" customHeight="1">
      <c r="C613" s="102"/>
      <c r="J613" s="225"/>
    </row>
    <row r="614" ht="15.75" customHeight="1">
      <c r="C614" s="102"/>
      <c r="J614" s="225"/>
    </row>
    <row r="615" ht="15.75" customHeight="1">
      <c r="C615" s="102"/>
      <c r="J615" s="225"/>
    </row>
    <row r="616" ht="15.75" customHeight="1">
      <c r="C616" s="102"/>
      <c r="J616" s="225"/>
    </row>
    <row r="617" ht="15.75" customHeight="1">
      <c r="C617" s="102"/>
      <c r="J617" s="225"/>
    </row>
    <row r="618" ht="15.75" customHeight="1">
      <c r="C618" s="102"/>
      <c r="J618" s="225"/>
    </row>
    <row r="619" ht="15.75" customHeight="1">
      <c r="C619" s="102"/>
      <c r="J619" s="225"/>
    </row>
    <row r="620" ht="15.75" customHeight="1">
      <c r="C620" s="102"/>
      <c r="J620" s="225"/>
    </row>
    <row r="621" ht="15.75" customHeight="1">
      <c r="C621" s="102"/>
      <c r="J621" s="225"/>
    </row>
    <row r="622" ht="15.75" customHeight="1">
      <c r="C622" s="102"/>
      <c r="J622" s="225"/>
    </row>
    <row r="623" ht="15.75" customHeight="1">
      <c r="C623" s="102"/>
      <c r="J623" s="225"/>
    </row>
    <row r="624" ht="15.75" customHeight="1">
      <c r="C624" s="102"/>
      <c r="J624" s="225"/>
    </row>
    <row r="625" ht="15.75" customHeight="1">
      <c r="C625" s="102"/>
      <c r="J625" s="225"/>
    </row>
    <row r="626" ht="15.75" customHeight="1">
      <c r="C626" s="102"/>
      <c r="J626" s="225"/>
    </row>
    <row r="627" ht="15.75" customHeight="1">
      <c r="C627" s="102"/>
      <c r="J627" s="225"/>
    </row>
    <row r="628" ht="15.75" customHeight="1">
      <c r="C628" s="102"/>
      <c r="J628" s="225"/>
    </row>
    <row r="629" ht="15.75" customHeight="1">
      <c r="C629" s="102"/>
      <c r="J629" s="225"/>
    </row>
    <row r="630" ht="15.75" customHeight="1">
      <c r="C630" s="102"/>
      <c r="J630" s="225"/>
    </row>
    <row r="631" ht="15.75" customHeight="1">
      <c r="C631" s="102"/>
      <c r="J631" s="225"/>
    </row>
    <row r="632" ht="15.75" customHeight="1">
      <c r="C632" s="102"/>
      <c r="J632" s="225"/>
    </row>
    <row r="633" ht="15.75" customHeight="1">
      <c r="C633" s="102"/>
      <c r="J633" s="225"/>
    </row>
    <row r="634" ht="15.75" customHeight="1">
      <c r="C634" s="102"/>
      <c r="J634" s="225"/>
    </row>
    <row r="635" ht="15.75" customHeight="1">
      <c r="C635" s="102"/>
      <c r="J635" s="225"/>
    </row>
    <row r="636" ht="15.75" customHeight="1">
      <c r="C636" s="102"/>
      <c r="J636" s="225"/>
    </row>
    <row r="637" ht="15.75" customHeight="1">
      <c r="C637" s="102"/>
      <c r="J637" s="225"/>
    </row>
    <row r="638" ht="15.75" customHeight="1">
      <c r="C638" s="102"/>
      <c r="J638" s="225"/>
    </row>
    <row r="639" ht="15.75" customHeight="1">
      <c r="C639" s="102"/>
      <c r="J639" s="225"/>
    </row>
    <row r="640" ht="15.75" customHeight="1">
      <c r="C640" s="102"/>
      <c r="J640" s="225"/>
    </row>
    <row r="641" ht="15.75" customHeight="1">
      <c r="C641" s="102"/>
      <c r="J641" s="225"/>
    </row>
    <row r="642" ht="15.75" customHeight="1">
      <c r="C642" s="102"/>
      <c r="J642" s="225"/>
    </row>
    <row r="643" ht="15.75" customHeight="1">
      <c r="C643" s="102"/>
      <c r="J643" s="225"/>
    </row>
    <row r="644" ht="15.75" customHeight="1">
      <c r="C644" s="102"/>
      <c r="J644" s="225"/>
    </row>
    <row r="645" ht="15.75" customHeight="1">
      <c r="C645" s="102"/>
      <c r="J645" s="225"/>
    </row>
    <row r="646" ht="15.75" customHeight="1">
      <c r="C646" s="102"/>
      <c r="J646" s="225"/>
    </row>
    <row r="647" ht="15.75" customHeight="1">
      <c r="C647" s="102"/>
      <c r="J647" s="225"/>
    </row>
    <row r="648" ht="15.75" customHeight="1">
      <c r="C648" s="102"/>
      <c r="J648" s="225"/>
    </row>
    <row r="649" ht="15.75" customHeight="1">
      <c r="C649" s="102"/>
      <c r="J649" s="225"/>
    </row>
    <row r="650" ht="15.75" customHeight="1">
      <c r="C650" s="102"/>
      <c r="J650" s="225"/>
    </row>
    <row r="651" ht="15.75" customHeight="1">
      <c r="C651" s="102"/>
      <c r="J651" s="225"/>
    </row>
    <row r="652" ht="15.75" customHeight="1">
      <c r="C652" s="102"/>
      <c r="J652" s="225"/>
    </row>
    <row r="653" ht="15.75" customHeight="1">
      <c r="C653" s="102"/>
      <c r="J653" s="225"/>
    </row>
    <row r="654" ht="15.75" customHeight="1">
      <c r="C654" s="102"/>
      <c r="J654" s="225"/>
    </row>
    <row r="655" ht="15.75" customHeight="1">
      <c r="C655" s="102"/>
      <c r="J655" s="225"/>
    </row>
    <row r="656" ht="15.75" customHeight="1">
      <c r="C656" s="102"/>
      <c r="J656" s="225"/>
    </row>
    <row r="657" ht="15.75" customHeight="1">
      <c r="C657" s="102"/>
      <c r="J657" s="225"/>
    </row>
    <row r="658" ht="15.75" customHeight="1">
      <c r="C658" s="102"/>
      <c r="J658" s="225"/>
    </row>
    <row r="659" ht="15.75" customHeight="1">
      <c r="C659" s="102"/>
      <c r="J659" s="225"/>
    </row>
    <row r="660" ht="15.75" customHeight="1">
      <c r="C660" s="102"/>
      <c r="J660" s="225"/>
    </row>
    <row r="661" ht="15.75" customHeight="1">
      <c r="C661" s="102"/>
      <c r="J661" s="225"/>
    </row>
    <row r="662" ht="15.75" customHeight="1">
      <c r="C662" s="102"/>
      <c r="J662" s="225"/>
    </row>
    <row r="663" ht="15.75" customHeight="1">
      <c r="C663" s="102"/>
      <c r="J663" s="225"/>
    </row>
    <row r="664" ht="15.75" customHeight="1">
      <c r="C664" s="102"/>
      <c r="J664" s="225"/>
    </row>
    <row r="665" ht="15.75" customHeight="1">
      <c r="C665" s="102"/>
      <c r="J665" s="225"/>
    </row>
    <row r="666" ht="15.75" customHeight="1">
      <c r="C666" s="102"/>
      <c r="J666" s="225"/>
    </row>
    <row r="667" ht="15.75" customHeight="1">
      <c r="C667" s="102"/>
      <c r="J667" s="225"/>
    </row>
    <row r="668" ht="15.75" customHeight="1">
      <c r="C668" s="102"/>
      <c r="J668" s="225"/>
    </row>
    <row r="669" ht="15.75" customHeight="1">
      <c r="C669" s="102"/>
      <c r="J669" s="225"/>
    </row>
    <row r="670" ht="15.75" customHeight="1">
      <c r="C670" s="102"/>
      <c r="J670" s="225"/>
    </row>
    <row r="671" ht="15.75" customHeight="1">
      <c r="C671" s="102"/>
      <c r="J671" s="225"/>
    </row>
    <row r="672" ht="15.75" customHeight="1">
      <c r="C672" s="102"/>
      <c r="J672" s="225"/>
    </row>
    <row r="673" ht="15.75" customHeight="1">
      <c r="C673" s="102"/>
      <c r="J673" s="225"/>
    </row>
    <row r="674" ht="15.75" customHeight="1">
      <c r="C674" s="102"/>
      <c r="J674" s="225"/>
    </row>
    <row r="675" ht="15.75" customHeight="1">
      <c r="C675" s="102"/>
      <c r="J675" s="225"/>
    </row>
    <row r="676" ht="15.75" customHeight="1">
      <c r="C676" s="102"/>
      <c r="J676" s="225"/>
    </row>
    <row r="677" ht="15.75" customHeight="1">
      <c r="C677" s="102"/>
      <c r="J677" s="225"/>
    </row>
    <row r="678" ht="15.75" customHeight="1">
      <c r="C678" s="102"/>
      <c r="J678" s="225"/>
    </row>
    <row r="679" ht="15.75" customHeight="1">
      <c r="C679" s="102"/>
      <c r="J679" s="225"/>
    </row>
    <row r="680" ht="15.75" customHeight="1">
      <c r="C680" s="102"/>
      <c r="J680" s="225"/>
    </row>
    <row r="681" ht="15.75" customHeight="1">
      <c r="C681" s="102"/>
      <c r="J681" s="225"/>
    </row>
    <row r="682" ht="15.75" customHeight="1">
      <c r="C682" s="102"/>
      <c r="J682" s="225"/>
    </row>
    <row r="683" ht="15.75" customHeight="1">
      <c r="C683" s="102"/>
      <c r="J683" s="225"/>
    </row>
    <row r="684" ht="15.75" customHeight="1">
      <c r="C684" s="102"/>
      <c r="J684" s="225"/>
    </row>
    <row r="685" ht="15.75" customHeight="1">
      <c r="C685" s="102"/>
      <c r="J685" s="225"/>
    </row>
    <row r="686" ht="15.75" customHeight="1">
      <c r="C686" s="102"/>
      <c r="J686" s="225"/>
    </row>
    <row r="687" ht="15.75" customHeight="1">
      <c r="C687" s="102"/>
      <c r="J687" s="225"/>
    </row>
    <row r="688" ht="15.75" customHeight="1">
      <c r="C688" s="102"/>
      <c r="J688" s="225"/>
    </row>
    <row r="689" ht="15.75" customHeight="1">
      <c r="C689" s="102"/>
      <c r="J689" s="225"/>
    </row>
    <row r="690" ht="15.75" customHeight="1">
      <c r="C690" s="102"/>
      <c r="J690" s="225"/>
    </row>
    <row r="691" ht="15.75" customHeight="1">
      <c r="C691" s="102"/>
      <c r="J691" s="225"/>
    </row>
    <row r="692" ht="15.75" customHeight="1">
      <c r="C692" s="102"/>
      <c r="J692" s="225"/>
    </row>
    <row r="693" ht="15.75" customHeight="1">
      <c r="C693" s="102"/>
      <c r="J693" s="225"/>
    </row>
    <row r="694" ht="15.75" customHeight="1">
      <c r="C694" s="102"/>
      <c r="J694" s="225"/>
    </row>
    <row r="695" ht="15.75" customHeight="1">
      <c r="C695" s="102"/>
      <c r="J695" s="225"/>
    </row>
    <row r="696" ht="15.75" customHeight="1">
      <c r="C696" s="102"/>
      <c r="J696" s="225"/>
    </row>
    <row r="697" ht="15.75" customHeight="1">
      <c r="C697" s="102"/>
      <c r="J697" s="225"/>
    </row>
    <row r="698" ht="15.75" customHeight="1">
      <c r="C698" s="102"/>
      <c r="J698" s="225"/>
    </row>
    <row r="699" ht="15.75" customHeight="1">
      <c r="C699" s="102"/>
      <c r="J699" s="225"/>
    </row>
    <row r="700" ht="15.75" customHeight="1">
      <c r="C700" s="102"/>
      <c r="J700" s="225"/>
    </row>
    <row r="701" ht="15.75" customHeight="1">
      <c r="C701" s="102"/>
      <c r="J701" s="225"/>
    </row>
    <row r="702" ht="15.75" customHeight="1">
      <c r="C702" s="102"/>
      <c r="J702" s="225"/>
    </row>
    <row r="703" ht="15.75" customHeight="1">
      <c r="C703" s="102"/>
      <c r="J703" s="225"/>
    </row>
    <row r="704" ht="15.75" customHeight="1">
      <c r="C704" s="102"/>
      <c r="J704" s="225"/>
    </row>
    <row r="705" ht="15.75" customHeight="1">
      <c r="C705" s="102"/>
      <c r="J705" s="225"/>
    </row>
    <row r="706" ht="15.75" customHeight="1">
      <c r="C706" s="102"/>
      <c r="J706" s="225"/>
    </row>
    <row r="707" ht="15.75" customHeight="1">
      <c r="C707" s="102"/>
      <c r="J707" s="225"/>
    </row>
    <row r="708" ht="15.75" customHeight="1">
      <c r="C708" s="102"/>
      <c r="J708" s="225"/>
    </row>
    <row r="709" ht="15.75" customHeight="1">
      <c r="C709" s="102"/>
      <c r="J709" s="225"/>
    </row>
    <row r="710" ht="15.75" customHeight="1">
      <c r="C710" s="102"/>
      <c r="J710" s="225"/>
    </row>
    <row r="711" ht="15.75" customHeight="1">
      <c r="C711" s="102"/>
      <c r="J711" s="225"/>
    </row>
    <row r="712" ht="15.75" customHeight="1">
      <c r="C712" s="102"/>
      <c r="J712" s="225"/>
    </row>
    <row r="713" ht="15.75" customHeight="1">
      <c r="C713" s="102"/>
      <c r="J713" s="225"/>
    </row>
    <row r="714" ht="15.75" customHeight="1">
      <c r="C714" s="102"/>
      <c r="J714" s="225"/>
    </row>
    <row r="715" ht="15.75" customHeight="1">
      <c r="C715" s="102"/>
      <c r="J715" s="225"/>
    </row>
    <row r="716" ht="15.75" customHeight="1">
      <c r="C716" s="102"/>
      <c r="J716" s="225"/>
    </row>
    <row r="717" ht="15.75" customHeight="1">
      <c r="C717" s="102"/>
      <c r="J717" s="225"/>
    </row>
    <row r="718" ht="15.75" customHeight="1">
      <c r="C718" s="102"/>
      <c r="J718" s="225"/>
    </row>
    <row r="719" ht="15.75" customHeight="1">
      <c r="C719" s="102"/>
      <c r="J719" s="225"/>
    </row>
    <row r="720" ht="15.75" customHeight="1">
      <c r="C720" s="102"/>
      <c r="J720" s="225"/>
    </row>
    <row r="721" ht="15.75" customHeight="1">
      <c r="C721" s="102"/>
      <c r="J721" s="225"/>
    </row>
    <row r="722" ht="15.75" customHeight="1">
      <c r="C722" s="102"/>
      <c r="J722" s="225"/>
    </row>
    <row r="723" ht="15.75" customHeight="1">
      <c r="C723" s="102"/>
      <c r="J723" s="225"/>
    </row>
    <row r="724" ht="15.75" customHeight="1">
      <c r="C724" s="102"/>
      <c r="J724" s="225"/>
    </row>
    <row r="725" ht="15.75" customHeight="1">
      <c r="C725" s="102"/>
      <c r="J725" s="225"/>
    </row>
    <row r="726" ht="15.75" customHeight="1">
      <c r="C726" s="102"/>
      <c r="J726" s="225"/>
    </row>
    <row r="727" ht="15.75" customHeight="1">
      <c r="C727" s="102"/>
      <c r="J727" s="225"/>
    </row>
    <row r="728" ht="15.75" customHeight="1">
      <c r="C728" s="102"/>
      <c r="J728" s="225"/>
    </row>
    <row r="729" ht="15.75" customHeight="1">
      <c r="C729" s="102"/>
      <c r="J729" s="225"/>
    </row>
    <row r="730" ht="15.75" customHeight="1">
      <c r="C730" s="102"/>
      <c r="J730" s="225"/>
    </row>
    <row r="731" ht="15.75" customHeight="1">
      <c r="C731" s="102"/>
      <c r="J731" s="225"/>
    </row>
    <row r="732" ht="15.75" customHeight="1">
      <c r="C732" s="102"/>
      <c r="J732" s="225"/>
    </row>
    <row r="733" ht="15.75" customHeight="1">
      <c r="C733" s="102"/>
      <c r="J733" s="225"/>
    </row>
    <row r="734" ht="15.75" customHeight="1">
      <c r="C734" s="102"/>
      <c r="J734" s="225"/>
    </row>
    <row r="735" ht="15.75" customHeight="1">
      <c r="C735" s="102"/>
      <c r="J735" s="225"/>
    </row>
    <row r="736" ht="15.75" customHeight="1">
      <c r="C736" s="102"/>
      <c r="J736" s="225"/>
    </row>
    <row r="737" ht="15.75" customHeight="1">
      <c r="C737" s="102"/>
      <c r="J737" s="225"/>
    </row>
    <row r="738" ht="15.75" customHeight="1">
      <c r="C738" s="102"/>
      <c r="J738" s="225"/>
    </row>
    <row r="739" ht="15.75" customHeight="1">
      <c r="C739" s="102"/>
      <c r="J739" s="225"/>
    </row>
    <row r="740" ht="15.75" customHeight="1">
      <c r="C740" s="102"/>
      <c r="J740" s="225"/>
    </row>
    <row r="741" ht="15.75" customHeight="1">
      <c r="C741" s="102"/>
      <c r="J741" s="225"/>
    </row>
    <row r="742" ht="15.75" customHeight="1">
      <c r="C742" s="102"/>
      <c r="J742" s="225"/>
    </row>
    <row r="743" ht="15.75" customHeight="1">
      <c r="C743" s="102"/>
      <c r="J743" s="225"/>
    </row>
    <row r="744" ht="15.75" customHeight="1">
      <c r="C744" s="102"/>
      <c r="J744" s="225"/>
    </row>
    <row r="745" ht="15.75" customHeight="1">
      <c r="C745" s="102"/>
      <c r="J745" s="225"/>
    </row>
    <row r="746" ht="15.75" customHeight="1">
      <c r="C746" s="102"/>
      <c r="J746" s="225"/>
    </row>
    <row r="747" ht="15.75" customHeight="1">
      <c r="C747" s="102"/>
      <c r="J747" s="225"/>
    </row>
    <row r="748" ht="15.75" customHeight="1">
      <c r="C748" s="102"/>
      <c r="J748" s="225"/>
    </row>
    <row r="749" ht="15.75" customHeight="1">
      <c r="C749" s="102"/>
      <c r="J749" s="225"/>
    </row>
    <row r="750" ht="15.75" customHeight="1">
      <c r="C750" s="102"/>
      <c r="J750" s="225"/>
    </row>
    <row r="751" ht="15.75" customHeight="1">
      <c r="C751" s="102"/>
      <c r="J751" s="225"/>
    </row>
    <row r="752" ht="15.75" customHeight="1">
      <c r="C752" s="102"/>
      <c r="J752" s="225"/>
    </row>
    <row r="753" ht="15.75" customHeight="1">
      <c r="C753" s="102"/>
      <c r="J753" s="225"/>
    </row>
    <row r="754" ht="15.75" customHeight="1">
      <c r="C754" s="102"/>
      <c r="J754" s="225"/>
    </row>
    <row r="755" ht="15.75" customHeight="1">
      <c r="C755" s="102"/>
      <c r="J755" s="225"/>
    </row>
    <row r="756" ht="15.75" customHeight="1">
      <c r="C756" s="102"/>
      <c r="J756" s="225"/>
    </row>
    <row r="757" ht="15.75" customHeight="1">
      <c r="C757" s="102"/>
      <c r="J757" s="225"/>
    </row>
    <row r="758" ht="15.75" customHeight="1">
      <c r="C758" s="102"/>
      <c r="J758" s="225"/>
    </row>
    <row r="759" ht="15.75" customHeight="1">
      <c r="C759" s="102"/>
      <c r="J759" s="225"/>
    </row>
    <row r="760" ht="15.75" customHeight="1">
      <c r="C760" s="102"/>
      <c r="J760" s="225"/>
    </row>
    <row r="761" ht="15.75" customHeight="1">
      <c r="C761" s="102"/>
      <c r="J761" s="225"/>
    </row>
    <row r="762" ht="15.75" customHeight="1">
      <c r="C762" s="102"/>
      <c r="J762" s="225"/>
    </row>
    <row r="763" ht="15.75" customHeight="1">
      <c r="C763" s="102"/>
      <c r="J763" s="225"/>
    </row>
    <row r="764" ht="15.75" customHeight="1">
      <c r="C764" s="102"/>
      <c r="J764" s="225"/>
    </row>
    <row r="765" ht="15.75" customHeight="1">
      <c r="C765" s="102"/>
      <c r="J765" s="225"/>
    </row>
    <row r="766" ht="15.75" customHeight="1">
      <c r="C766" s="102"/>
      <c r="J766" s="225"/>
    </row>
    <row r="767" ht="15.75" customHeight="1">
      <c r="C767" s="102"/>
      <c r="J767" s="225"/>
    </row>
    <row r="768" ht="15.75" customHeight="1">
      <c r="C768" s="102"/>
      <c r="J768" s="225"/>
    </row>
    <row r="769" ht="15.75" customHeight="1">
      <c r="C769" s="102"/>
      <c r="J769" s="225"/>
    </row>
    <row r="770" ht="15.75" customHeight="1">
      <c r="C770" s="102"/>
      <c r="J770" s="225"/>
    </row>
    <row r="771" ht="15.75" customHeight="1">
      <c r="C771" s="102"/>
      <c r="J771" s="225"/>
    </row>
    <row r="772" ht="15.75" customHeight="1">
      <c r="C772" s="102"/>
      <c r="J772" s="225"/>
    </row>
    <row r="773" ht="15.75" customHeight="1">
      <c r="C773" s="102"/>
      <c r="J773" s="225"/>
    </row>
    <row r="774" ht="15.75" customHeight="1">
      <c r="C774" s="102"/>
      <c r="J774" s="225"/>
    </row>
    <row r="775" ht="15.75" customHeight="1">
      <c r="C775" s="102"/>
      <c r="J775" s="225"/>
    </row>
    <row r="776" ht="15.75" customHeight="1">
      <c r="C776" s="102"/>
      <c r="J776" s="225"/>
    </row>
    <row r="777" ht="15.75" customHeight="1">
      <c r="C777" s="102"/>
      <c r="J777" s="225"/>
    </row>
    <row r="778" ht="15.75" customHeight="1">
      <c r="C778" s="102"/>
      <c r="J778" s="225"/>
    </row>
    <row r="779" ht="15.75" customHeight="1">
      <c r="C779" s="102"/>
      <c r="J779" s="225"/>
    </row>
    <row r="780" ht="15.75" customHeight="1">
      <c r="C780" s="102"/>
      <c r="J780" s="225"/>
    </row>
    <row r="781" ht="15.75" customHeight="1">
      <c r="C781" s="102"/>
      <c r="J781" s="225"/>
    </row>
    <row r="782" ht="15.75" customHeight="1">
      <c r="C782" s="102"/>
      <c r="J782" s="225"/>
    </row>
    <row r="783" ht="15.75" customHeight="1">
      <c r="C783" s="102"/>
      <c r="J783" s="225"/>
    </row>
    <row r="784" ht="15.75" customHeight="1">
      <c r="C784" s="102"/>
      <c r="J784" s="225"/>
    </row>
    <row r="785" ht="15.75" customHeight="1">
      <c r="C785" s="102"/>
      <c r="J785" s="225"/>
    </row>
    <row r="786" ht="15.75" customHeight="1">
      <c r="C786" s="102"/>
      <c r="J786" s="225"/>
    </row>
    <row r="787" ht="15.75" customHeight="1">
      <c r="C787" s="102"/>
      <c r="J787" s="225"/>
    </row>
    <row r="788" ht="15.75" customHeight="1">
      <c r="C788" s="102"/>
      <c r="J788" s="225"/>
    </row>
    <row r="789" ht="15.75" customHeight="1">
      <c r="C789" s="102"/>
      <c r="J789" s="225"/>
    </row>
    <row r="790" ht="15.75" customHeight="1">
      <c r="C790" s="102"/>
      <c r="J790" s="225"/>
    </row>
    <row r="791" ht="15.75" customHeight="1">
      <c r="C791" s="102"/>
      <c r="J791" s="225"/>
    </row>
    <row r="792" ht="15.75" customHeight="1">
      <c r="C792" s="102"/>
      <c r="J792" s="225"/>
    </row>
    <row r="793" ht="15.75" customHeight="1">
      <c r="C793" s="102"/>
      <c r="J793" s="225"/>
    </row>
    <row r="794" ht="15.75" customHeight="1">
      <c r="C794" s="102"/>
      <c r="J794" s="225"/>
    </row>
    <row r="795" ht="15.75" customHeight="1">
      <c r="C795" s="102"/>
      <c r="J795" s="225"/>
    </row>
    <row r="796" ht="15.75" customHeight="1">
      <c r="C796" s="102"/>
      <c r="J796" s="225"/>
    </row>
    <row r="797" ht="15.75" customHeight="1">
      <c r="C797" s="102"/>
      <c r="J797" s="225"/>
    </row>
    <row r="798" ht="15.75" customHeight="1">
      <c r="C798" s="102"/>
      <c r="J798" s="225"/>
    </row>
    <row r="799" ht="15.75" customHeight="1">
      <c r="C799" s="102"/>
      <c r="J799" s="225"/>
    </row>
    <row r="800" ht="15.75" customHeight="1">
      <c r="C800" s="102"/>
      <c r="J800" s="225"/>
    </row>
    <row r="801" ht="15.75" customHeight="1">
      <c r="C801" s="102"/>
      <c r="J801" s="225"/>
    </row>
    <row r="802" ht="15.75" customHeight="1">
      <c r="C802" s="102"/>
      <c r="J802" s="225"/>
    </row>
    <row r="803" ht="15.75" customHeight="1">
      <c r="C803" s="102"/>
      <c r="J803" s="225"/>
    </row>
    <row r="804" ht="15.75" customHeight="1">
      <c r="C804" s="102"/>
      <c r="J804" s="225"/>
    </row>
    <row r="805" ht="15.75" customHeight="1">
      <c r="C805" s="102"/>
      <c r="J805" s="225"/>
    </row>
    <row r="806" ht="15.75" customHeight="1">
      <c r="C806" s="102"/>
      <c r="J806" s="225"/>
    </row>
    <row r="807" ht="15.75" customHeight="1">
      <c r="C807" s="102"/>
      <c r="J807" s="225"/>
    </row>
    <row r="808" ht="15.75" customHeight="1">
      <c r="C808" s="102"/>
      <c r="J808" s="225"/>
    </row>
    <row r="809" ht="15.75" customHeight="1">
      <c r="C809" s="102"/>
      <c r="J809" s="225"/>
    </row>
    <row r="810" ht="15.75" customHeight="1">
      <c r="C810" s="102"/>
      <c r="J810" s="225"/>
    </row>
    <row r="811" ht="15.75" customHeight="1">
      <c r="C811" s="102"/>
      <c r="J811" s="225"/>
    </row>
    <row r="812" ht="15.75" customHeight="1">
      <c r="C812" s="102"/>
      <c r="J812" s="225"/>
    </row>
    <row r="813" ht="15.75" customHeight="1">
      <c r="C813" s="102"/>
      <c r="J813" s="225"/>
    </row>
    <row r="814" ht="15.75" customHeight="1">
      <c r="C814" s="102"/>
      <c r="J814" s="225"/>
    </row>
    <row r="815" ht="15.75" customHeight="1">
      <c r="C815" s="102"/>
      <c r="J815" s="225"/>
    </row>
    <row r="816" ht="15.75" customHeight="1">
      <c r="C816" s="102"/>
      <c r="J816" s="225"/>
    </row>
    <row r="817" ht="15.75" customHeight="1">
      <c r="C817" s="102"/>
      <c r="J817" s="225"/>
    </row>
    <row r="818" ht="15.75" customHeight="1">
      <c r="C818" s="102"/>
      <c r="J818" s="225"/>
    </row>
    <row r="819" ht="15.75" customHeight="1">
      <c r="C819" s="102"/>
      <c r="J819" s="225"/>
    </row>
    <row r="820" ht="15.75" customHeight="1">
      <c r="C820" s="102"/>
      <c r="J820" s="225"/>
    </row>
    <row r="821" ht="15.75" customHeight="1">
      <c r="C821" s="102"/>
      <c r="J821" s="225"/>
    </row>
    <row r="822" ht="15.75" customHeight="1">
      <c r="C822" s="102"/>
      <c r="J822" s="225"/>
    </row>
    <row r="823" ht="15.75" customHeight="1">
      <c r="C823" s="102"/>
      <c r="J823" s="225"/>
    </row>
    <row r="824" ht="15.75" customHeight="1">
      <c r="C824" s="102"/>
      <c r="J824" s="225"/>
    </row>
    <row r="825" ht="15.75" customHeight="1">
      <c r="C825" s="102"/>
      <c r="J825" s="225"/>
    </row>
    <row r="826" ht="15.75" customHeight="1">
      <c r="C826" s="102"/>
      <c r="J826" s="225"/>
    </row>
    <row r="827" ht="15.75" customHeight="1">
      <c r="C827" s="102"/>
      <c r="J827" s="225"/>
    </row>
    <row r="828" ht="15.75" customHeight="1">
      <c r="C828" s="102"/>
      <c r="J828" s="225"/>
    </row>
    <row r="829" ht="15.75" customHeight="1">
      <c r="C829" s="102"/>
      <c r="J829" s="225"/>
    </row>
    <row r="830" ht="15.75" customHeight="1">
      <c r="C830" s="102"/>
      <c r="J830" s="225"/>
    </row>
    <row r="831" ht="15.75" customHeight="1">
      <c r="C831" s="102"/>
      <c r="J831" s="225"/>
    </row>
    <row r="832" ht="15.75" customHeight="1">
      <c r="C832" s="102"/>
      <c r="J832" s="225"/>
    </row>
    <row r="833" ht="15.75" customHeight="1">
      <c r="C833" s="102"/>
      <c r="J833" s="225"/>
    </row>
    <row r="834" ht="15.75" customHeight="1">
      <c r="C834" s="102"/>
      <c r="J834" s="225"/>
    </row>
    <row r="835" ht="15.75" customHeight="1">
      <c r="C835" s="102"/>
      <c r="J835" s="225"/>
    </row>
    <row r="836" ht="15.75" customHeight="1">
      <c r="C836" s="102"/>
      <c r="J836" s="225"/>
    </row>
    <row r="837" ht="15.75" customHeight="1">
      <c r="C837" s="102"/>
      <c r="J837" s="225"/>
    </row>
    <row r="838" ht="15.75" customHeight="1">
      <c r="C838" s="102"/>
      <c r="J838" s="225"/>
    </row>
    <row r="839" ht="15.75" customHeight="1">
      <c r="C839" s="102"/>
      <c r="J839" s="225"/>
    </row>
    <row r="840" ht="15.75" customHeight="1">
      <c r="C840" s="102"/>
      <c r="J840" s="225"/>
    </row>
    <row r="841" ht="15.75" customHeight="1">
      <c r="C841" s="102"/>
      <c r="J841" s="225"/>
    </row>
    <row r="842" ht="15.75" customHeight="1">
      <c r="C842" s="102"/>
      <c r="J842" s="225"/>
    </row>
    <row r="843" ht="15.75" customHeight="1">
      <c r="C843" s="102"/>
      <c r="J843" s="225"/>
    </row>
    <row r="844" ht="15.75" customHeight="1">
      <c r="C844" s="102"/>
      <c r="J844" s="225"/>
    </row>
    <row r="845" ht="15.75" customHeight="1">
      <c r="C845" s="102"/>
      <c r="J845" s="225"/>
    </row>
    <row r="846" ht="15.75" customHeight="1">
      <c r="C846" s="102"/>
      <c r="J846" s="225"/>
    </row>
    <row r="847" ht="15.75" customHeight="1">
      <c r="C847" s="102"/>
      <c r="J847" s="225"/>
    </row>
    <row r="848" ht="15.75" customHeight="1">
      <c r="C848" s="102"/>
      <c r="J848" s="225"/>
    </row>
    <row r="849" ht="15.75" customHeight="1">
      <c r="C849" s="102"/>
      <c r="J849" s="225"/>
    </row>
    <row r="850" ht="15.75" customHeight="1">
      <c r="C850" s="102"/>
      <c r="J850" s="225"/>
    </row>
    <row r="851" ht="15.75" customHeight="1">
      <c r="C851" s="102"/>
      <c r="J851" s="225"/>
    </row>
    <row r="852" ht="15.75" customHeight="1">
      <c r="C852" s="102"/>
      <c r="J852" s="225"/>
    </row>
    <row r="853" ht="15.75" customHeight="1">
      <c r="C853" s="102"/>
      <c r="J853" s="225"/>
    </row>
    <row r="854" ht="15.75" customHeight="1">
      <c r="C854" s="102"/>
      <c r="J854" s="225"/>
    </row>
    <row r="855" ht="15.75" customHeight="1">
      <c r="C855" s="102"/>
      <c r="J855" s="225"/>
    </row>
    <row r="856" ht="15.75" customHeight="1">
      <c r="C856" s="102"/>
      <c r="J856" s="225"/>
    </row>
    <row r="857" ht="15.75" customHeight="1">
      <c r="C857" s="102"/>
      <c r="J857" s="225"/>
    </row>
    <row r="858" ht="15.75" customHeight="1">
      <c r="C858" s="102"/>
      <c r="J858" s="225"/>
    </row>
    <row r="859" ht="15.75" customHeight="1">
      <c r="C859" s="102"/>
      <c r="J859" s="225"/>
    </row>
    <row r="860" ht="15.75" customHeight="1">
      <c r="C860" s="102"/>
      <c r="J860" s="225"/>
    </row>
    <row r="861" ht="15.75" customHeight="1">
      <c r="C861" s="102"/>
      <c r="J861" s="225"/>
    </row>
    <row r="862" ht="15.75" customHeight="1">
      <c r="C862" s="102"/>
      <c r="J862" s="225"/>
    </row>
    <row r="863" ht="15.75" customHeight="1">
      <c r="C863" s="102"/>
      <c r="J863" s="225"/>
    </row>
    <row r="864" ht="15.75" customHeight="1">
      <c r="C864" s="102"/>
      <c r="J864" s="225"/>
    </row>
    <row r="865" ht="15.75" customHeight="1">
      <c r="C865" s="102"/>
      <c r="J865" s="225"/>
    </row>
    <row r="866" ht="15.75" customHeight="1">
      <c r="C866" s="102"/>
      <c r="J866" s="225"/>
    </row>
    <row r="867" ht="15.75" customHeight="1">
      <c r="C867" s="102"/>
      <c r="J867" s="225"/>
    </row>
    <row r="868" ht="15.75" customHeight="1">
      <c r="C868" s="102"/>
      <c r="J868" s="225"/>
    </row>
    <row r="869" ht="15.75" customHeight="1">
      <c r="C869" s="102"/>
      <c r="J869" s="225"/>
    </row>
    <row r="870" ht="15.75" customHeight="1">
      <c r="C870" s="102"/>
      <c r="J870" s="225"/>
    </row>
    <row r="871" ht="15.75" customHeight="1">
      <c r="C871" s="102"/>
      <c r="J871" s="225"/>
    </row>
    <row r="872" ht="15.75" customHeight="1">
      <c r="C872" s="102"/>
      <c r="J872" s="225"/>
    </row>
    <row r="873" ht="15.75" customHeight="1">
      <c r="C873" s="102"/>
      <c r="J873" s="225"/>
    </row>
    <row r="874" ht="15.75" customHeight="1">
      <c r="C874" s="102"/>
      <c r="J874" s="225"/>
    </row>
    <row r="875" ht="15.75" customHeight="1">
      <c r="C875" s="102"/>
      <c r="J875" s="225"/>
    </row>
    <row r="876" ht="15.75" customHeight="1">
      <c r="C876" s="102"/>
      <c r="J876" s="225"/>
    </row>
    <row r="877" ht="15.75" customHeight="1">
      <c r="C877" s="102"/>
      <c r="J877" s="225"/>
    </row>
    <row r="878" ht="15.75" customHeight="1">
      <c r="C878" s="102"/>
      <c r="J878" s="225"/>
    </row>
    <row r="879" ht="15.75" customHeight="1">
      <c r="C879" s="102"/>
      <c r="J879" s="225"/>
    </row>
    <row r="880" ht="15.75" customHeight="1">
      <c r="C880" s="102"/>
      <c r="J880" s="225"/>
    </row>
    <row r="881" ht="15.75" customHeight="1">
      <c r="C881" s="102"/>
      <c r="J881" s="225"/>
    </row>
    <row r="882" ht="15.75" customHeight="1">
      <c r="C882" s="102"/>
      <c r="J882" s="225"/>
    </row>
    <row r="883" ht="15.75" customHeight="1">
      <c r="C883" s="102"/>
      <c r="J883" s="225"/>
    </row>
    <row r="884" ht="15.75" customHeight="1">
      <c r="C884" s="102"/>
      <c r="J884" s="225"/>
    </row>
    <row r="885" ht="15.75" customHeight="1">
      <c r="C885" s="102"/>
      <c r="J885" s="225"/>
    </row>
    <row r="886" ht="15.75" customHeight="1">
      <c r="C886" s="102"/>
      <c r="J886" s="225"/>
    </row>
    <row r="887" ht="15.75" customHeight="1">
      <c r="C887" s="102"/>
      <c r="J887" s="225"/>
    </row>
    <row r="888" ht="15.75" customHeight="1">
      <c r="C888" s="102"/>
      <c r="J888" s="225"/>
    </row>
    <row r="889" ht="15.75" customHeight="1">
      <c r="C889" s="102"/>
      <c r="J889" s="225"/>
    </row>
    <row r="890" ht="15.75" customHeight="1">
      <c r="C890" s="102"/>
      <c r="J890" s="225"/>
    </row>
    <row r="891" ht="15.75" customHeight="1">
      <c r="C891" s="102"/>
      <c r="J891" s="225"/>
    </row>
    <row r="892" ht="15.75" customHeight="1">
      <c r="C892" s="102"/>
      <c r="J892" s="225"/>
    </row>
    <row r="893" ht="15.75" customHeight="1">
      <c r="C893" s="102"/>
      <c r="J893" s="225"/>
    </row>
    <row r="894" ht="15.75" customHeight="1">
      <c r="C894" s="102"/>
      <c r="J894" s="225"/>
    </row>
    <row r="895" ht="15.75" customHeight="1">
      <c r="C895" s="102"/>
      <c r="J895" s="225"/>
    </row>
    <row r="896" ht="15.75" customHeight="1">
      <c r="C896" s="102"/>
      <c r="J896" s="225"/>
    </row>
    <row r="897" ht="15.75" customHeight="1">
      <c r="C897" s="102"/>
      <c r="J897" s="225"/>
    </row>
    <row r="898" ht="15.75" customHeight="1">
      <c r="C898" s="102"/>
      <c r="J898" s="225"/>
    </row>
    <row r="899" ht="15.75" customHeight="1">
      <c r="C899" s="102"/>
      <c r="J899" s="225"/>
    </row>
    <row r="900" ht="15.75" customHeight="1">
      <c r="C900" s="102"/>
      <c r="J900" s="225"/>
    </row>
    <row r="901" ht="15.75" customHeight="1">
      <c r="C901" s="102"/>
      <c r="J901" s="225"/>
    </row>
    <row r="902" ht="15.75" customHeight="1">
      <c r="C902" s="102"/>
      <c r="J902" s="225"/>
    </row>
    <row r="903" ht="15.75" customHeight="1">
      <c r="C903" s="102"/>
      <c r="J903" s="225"/>
    </row>
    <row r="904" ht="15.75" customHeight="1">
      <c r="C904" s="102"/>
      <c r="J904" s="225"/>
    </row>
    <row r="905" ht="15.75" customHeight="1">
      <c r="C905" s="102"/>
      <c r="J905" s="225"/>
    </row>
    <row r="906" ht="15.75" customHeight="1">
      <c r="C906" s="102"/>
      <c r="J906" s="225"/>
    </row>
    <row r="907" ht="15.75" customHeight="1">
      <c r="C907" s="102"/>
      <c r="J907" s="225"/>
    </row>
    <row r="908" ht="15.75" customHeight="1">
      <c r="C908" s="102"/>
      <c r="J908" s="225"/>
    </row>
    <row r="909" ht="15.75" customHeight="1">
      <c r="C909" s="102"/>
      <c r="J909" s="225"/>
    </row>
    <row r="910" ht="15.75" customHeight="1">
      <c r="C910" s="102"/>
      <c r="J910" s="225"/>
    </row>
    <row r="911" ht="15.75" customHeight="1">
      <c r="C911" s="102"/>
      <c r="J911" s="225"/>
    </row>
    <row r="912" ht="15.75" customHeight="1">
      <c r="C912" s="102"/>
      <c r="J912" s="225"/>
    </row>
    <row r="913" ht="15.75" customHeight="1">
      <c r="C913" s="102"/>
      <c r="J913" s="225"/>
    </row>
    <row r="914" ht="15.75" customHeight="1">
      <c r="C914" s="102"/>
      <c r="J914" s="225"/>
    </row>
    <row r="915" ht="15.75" customHeight="1">
      <c r="C915" s="102"/>
      <c r="J915" s="225"/>
    </row>
    <row r="916" ht="15.75" customHeight="1">
      <c r="C916" s="102"/>
      <c r="J916" s="225"/>
    </row>
    <row r="917" ht="15.75" customHeight="1">
      <c r="C917" s="102"/>
      <c r="J917" s="225"/>
    </row>
    <row r="918" ht="15.75" customHeight="1">
      <c r="C918" s="102"/>
      <c r="J918" s="225"/>
    </row>
    <row r="919" ht="15.75" customHeight="1">
      <c r="C919" s="102"/>
      <c r="J919" s="225"/>
    </row>
    <row r="920" ht="15.75" customHeight="1">
      <c r="C920" s="102"/>
      <c r="J920" s="225"/>
    </row>
    <row r="921" ht="15.75" customHeight="1">
      <c r="C921" s="102"/>
      <c r="J921" s="225"/>
    </row>
    <row r="922" ht="15.75" customHeight="1">
      <c r="C922" s="102"/>
      <c r="J922" s="225"/>
    </row>
    <row r="923" ht="15.75" customHeight="1">
      <c r="C923" s="102"/>
      <c r="J923" s="225"/>
    </row>
    <row r="924" ht="15.75" customHeight="1">
      <c r="C924" s="102"/>
      <c r="J924" s="225"/>
    </row>
    <row r="925" ht="15.75" customHeight="1">
      <c r="C925" s="102"/>
      <c r="J925" s="225"/>
    </row>
    <row r="926" ht="15.75" customHeight="1">
      <c r="C926" s="102"/>
      <c r="J926" s="225"/>
    </row>
    <row r="927" ht="15.75" customHeight="1">
      <c r="C927" s="102"/>
      <c r="J927" s="225"/>
    </row>
    <row r="928" ht="15.75" customHeight="1">
      <c r="C928" s="102"/>
      <c r="J928" s="225"/>
    </row>
    <row r="929" ht="15.75" customHeight="1">
      <c r="C929" s="102"/>
      <c r="J929" s="225"/>
    </row>
    <row r="930" ht="15.75" customHeight="1">
      <c r="C930" s="102"/>
      <c r="J930" s="225"/>
    </row>
    <row r="931" ht="15.75" customHeight="1">
      <c r="C931" s="102"/>
      <c r="J931" s="225"/>
    </row>
    <row r="932" ht="15.75" customHeight="1">
      <c r="C932" s="102"/>
      <c r="J932" s="225"/>
    </row>
    <row r="933" ht="15.75" customHeight="1">
      <c r="C933" s="102"/>
      <c r="J933" s="225"/>
    </row>
    <row r="934" ht="15.75" customHeight="1">
      <c r="C934" s="102"/>
      <c r="J934" s="225"/>
    </row>
    <row r="935" ht="15.75" customHeight="1">
      <c r="C935" s="102"/>
      <c r="J935" s="225"/>
    </row>
    <row r="936" ht="15.75" customHeight="1">
      <c r="C936" s="102"/>
      <c r="J936" s="225"/>
    </row>
    <row r="937" ht="15.75" customHeight="1">
      <c r="C937" s="102"/>
      <c r="J937" s="225"/>
    </row>
    <row r="938" ht="15.75" customHeight="1">
      <c r="C938" s="102"/>
      <c r="J938" s="225"/>
    </row>
    <row r="939" ht="15.75" customHeight="1">
      <c r="C939" s="102"/>
      <c r="J939" s="225"/>
    </row>
    <row r="940" ht="15.75" customHeight="1">
      <c r="C940" s="102"/>
      <c r="J940" s="225"/>
    </row>
    <row r="941" ht="15.75" customHeight="1">
      <c r="C941" s="102"/>
      <c r="J941" s="225"/>
    </row>
    <row r="942" ht="15.75" customHeight="1">
      <c r="C942" s="102"/>
      <c r="J942" s="225"/>
    </row>
    <row r="943" ht="15.75" customHeight="1">
      <c r="C943" s="102"/>
      <c r="J943" s="225"/>
    </row>
    <row r="944" ht="15.75" customHeight="1">
      <c r="C944" s="102"/>
      <c r="J944" s="225"/>
    </row>
    <row r="945" ht="15.75" customHeight="1">
      <c r="C945" s="102"/>
      <c r="J945" s="225"/>
    </row>
    <row r="946" ht="15.75" customHeight="1">
      <c r="C946" s="102"/>
      <c r="J946" s="225"/>
    </row>
    <row r="947" ht="15.75" customHeight="1">
      <c r="C947" s="102"/>
      <c r="J947" s="225"/>
    </row>
    <row r="948" ht="15.75" customHeight="1">
      <c r="C948" s="102"/>
      <c r="J948" s="225"/>
    </row>
    <row r="949" ht="15.75" customHeight="1">
      <c r="C949" s="102"/>
      <c r="J949" s="225"/>
    </row>
    <row r="950" ht="15.75" customHeight="1">
      <c r="C950" s="102"/>
      <c r="J950" s="225"/>
    </row>
    <row r="951" ht="15.75" customHeight="1">
      <c r="C951" s="102"/>
      <c r="J951" s="225"/>
    </row>
    <row r="952" ht="15.75" customHeight="1">
      <c r="C952" s="102"/>
      <c r="J952" s="225"/>
    </row>
    <row r="953" ht="15.75" customHeight="1">
      <c r="C953" s="102"/>
      <c r="J953" s="225"/>
    </row>
    <row r="954" ht="15.75" customHeight="1">
      <c r="C954" s="102"/>
      <c r="J954" s="225"/>
    </row>
    <row r="955" ht="15.75" customHeight="1">
      <c r="C955" s="102"/>
      <c r="J955" s="225"/>
    </row>
    <row r="956" ht="15.75" customHeight="1">
      <c r="C956" s="102"/>
      <c r="J956" s="225"/>
    </row>
    <row r="957" ht="15.75" customHeight="1">
      <c r="C957" s="102"/>
      <c r="J957" s="225"/>
    </row>
    <row r="958" ht="15.75" customHeight="1">
      <c r="C958" s="102"/>
      <c r="J958" s="225"/>
    </row>
    <row r="959" ht="15.75" customHeight="1">
      <c r="C959" s="102"/>
      <c r="J959" s="225"/>
    </row>
    <row r="960" ht="15.75" customHeight="1">
      <c r="C960" s="102"/>
      <c r="J960" s="225"/>
    </row>
    <row r="961" ht="15.75" customHeight="1">
      <c r="C961" s="102"/>
      <c r="J961" s="225"/>
    </row>
    <row r="962" ht="15.75" customHeight="1">
      <c r="C962" s="102"/>
      <c r="J962" s="225"/>
    </row>
    <row r="963" ht="15.75" customHeight="1">
      <c r="C963" s="102"/>
      <c r="J963" s="225"/>
    </row>
    <row r="964" ht="15.75" customHeight="1">
      <c r="C964" s="102"/>
      <c r="J964" s="225"/>
    </row>
    <row r="965" ht="15.75" customHeight="1">
      <c r="C965" s="102"/>
      <c r="J965" s="225"/>
    </row>
    <row r="966" ht="15.75" customHeight="1">
      <c r="C966" s="102"/>
      <c r="J966" s="225"/>
    </row>
    <row r="967" ht="15.75" customHeight="1">
      <c r="C967" s="102"/>
      <c r="J967" s="225"/>
    </row>
    <row r="968" ht="15.75" customHeight="1">
      <c r="C968" s="102"/>
      <c r="J968" s="225"/>
    </row>
    <row r="969" ht="15.75" customHeight="1">
      <c r="C969" s="102"/>
      <c r="J969" s="225"/>
    </row>
    <row r="970" ht="15.75" customHeight="1">
      <c r="C970" s="102"/>
      <c r="J970" s="225"/>
    </row>
    <row r="971" ht="15.75" customHeight="1">
      <c r="C971" s="102"/>
      <c r="J971" s="225"/>
    </row>
    <row r="972" ht="15.75" customHeight="1">
      <c r="C972" s="102"/>
      <c r="J972" s="225"/>
    </row>
    <row r="973" ht="15.75" customHeight="1">
      <c r="C973" s="102"/>
      <c r="J973" s="225"/>
    </row>
    <row r="974" ht="15.75" customHeight="1">
      <c r="C974" s="102"/>
      <c r="J974" s="225"/>
    </row>
    <row r="975" ht="15.75" customHeight="1">
      <c r="C975" s="102"/>
      <c r="J975" s="225"/>
    </row>
    <row r="976" ht="15.75" customHeight="1">
      <c r="C976" s="102"/>
      <c r="J976" s="225"/>
    </row>
    <row r="977" ht="15.75" customHeight="1">
      <c r="C977" s="102"/>
      <c r="J977" s="225"/>
    </row>
    <row r="978" ht="15.75" customHeight="1">
      <c r="C978" s="102"/>
      <c r="J978" s="225"/>
    </row>
    <row r="979" ht="15.75" customHeight="1">
      <c r="C979" s="102"/>
      <c r="J979" s="225"/>
    </row>
    <row r="980" ht="15.75" customHeight="1">
      <c r="C980" s="102"/>
      <c r="J980" s="225"/>
    </row>
    <row r="981" ht="15.75" customHeight="1">
      <c r="C981" s="102"/>
      <c r="J981" s="225"/>
    </row>
    <row r="982" ht="15.75" customHeight="1">
      <c r="C982" s="102"/>
      <c r="J982" s="225"/>
    </row>
    <row r="983" ht="15.75" customHeight="1">
      <c r="C983" s="102"/>
      <c r="J983" s="225"/>
    </row>
    <row r="984" ht="15.75" customHeight="1">
      <c r="C984" s="102"/>
      <c r="J984" s="225"/>
    </row>
    <row r="985" ht="15.75" customHeight="1">
      <c r="C985" s="102"/>
      <c r="J985" s="225"/>
    </row>
    <row r="986" ht="15.75" customHeight="1">
      <c r="C986" s="102"/>
      <c r="J986" s="225"/>
    </row>
    <row r="987" ht="15.75" customHeight="1">
      <c r="C987" s="102"/>
      <c r="J987" s="225"/>
    </row>
    <row r="988" ht="15.75" customHeight="1">
      <c r="C988" s="102"/>
      <c r="J988" s="225"/>
    </row>
    <row r="989" ht="15.75" customHeight="1">
      <c r="C989" s="102"/>
      <c r="J989" s="225"/>
    </row>
    <row r="990" ht="15.75" customHeight="1">
      <c r="C990" s="102"/>
      <c r="J990" s="225"/>
    </row>
    <row r="991" ht="15.75" customHeight="1">
      <c r="C991" s="102"/>
      <c r="J991" s="225"/>
    </row>
    <row r="992" ht="15.75" customHeight="1">
      <c r="C992" s="102"/>
      <c r="J992" s="225"/>
    </row>
    <row r="993" ht="15.75" customHeight="1">
      <c r="C993" s="102"/>
      <c r="J993" s="225"/>
    </row>
    <row r="994" ht="15.75" customHeight="1">
      <c r="C994" s="102"/>
      <c r="J994" s="225"/>
    </row>
    <row r="995" ht="15.75" customHeight="1">
      <c r="C995" s="102"/>
      <c r="J995" s="225"/>
    </row>
    <row r="996" ht="15.75" customHeight="1">
      <c r="C996" s="102"/>
      <c r="J996" s="225"/>
    </row>
    <row r="997" ht="15.75" customHeight="1">
      <c r="C997" s="102"/>
      <c r="J997" s="225"/>
    </row>
    <row r="998" ht="15.75" customHeight="1">
      <c r="C998" s="102"/>
      <c r="J998" s="225"/>
    </row>
    <row r="999" ht="15.75" customHeight="1">
      <c r="C999" s="102"/>
      <c r="J999" s="225"/>
    </row>
    <row r="1000" ht="15.75" customHeight="1">
      <c r="C1000" s="102"/>
      <c r="J1000" s="225"/>
    </row>
    <row r="1001" ht="15.75" customHeight="1">
      <c r="C1001" s="102"/>
      <c r="J1001" s="225"/>
    </row>
    <row r="1002" ht="15.75" customHeight="1">
      <c r="C1002" s="102"/>
      <c r="J1002" s="225"/>
    </row>
  </sheetData>
  <mergeCells count="18">
    <mergeCell ref="E1:J1"/>
    <mergeCell ref="A2:A3"/>
    <mergeCell ref="B2:B3"/>
    <mergeCell ref="C2:C3"/>
    <mergeCell ref="D2:D3"/>
    <mergeCell ref="A65:D65"/>
    <mergeCell ref="A66:D66"/>
    <mergeCell ref="A75:D75"/>
    <mergeCell ref="A76:D76"/>
    <mergeCell ref="A77:D77"/>
    <mergeCell ref="A78:D78"/>
    <mergeCell ref="A67:D67"/>
    <mergeCell ref="A68:D68"/>
    <mergeCell ref="A69:D69"/>
    <mergeCell ref="A70:D70"/>
    <mergeCell ref="A72:D72"/>
    <mergeCell ref="A73:D73"/>
    <mergeCell ref="A74:D7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7.5"/>
    <col customWidth="1" min="3" max="3" width="13.13"/>
    <col customWidth="1" min="4" max="4" width="22.0"/>
    <col customWidth="1" min="5" max="5" width="11.38"/>
    <col customWidth="1" min="6" max="6" width="10.5"/>
    <col customWidth="1" min="7" max="7" width="8.63"/>
    <col customWidth="1" min="8" max="8" width="11.38"/>
    <col customWidth="1" min="9" max="9" width="8.63"/>
  </cols>
  <sheetData>
    <row r="1" ht="15.75" customHeight="1">
      <c r="A1" s="168"/>
      <c r="B1" s="168"/>
      <c r="C1" s="168"/>
      <c r="D1" s="168"/>
      <c r="E1" s="169"/>
      <c r="F1" s="169"/>
      <c r="G1" s="169"/>
      <c r="H1" s="169"/>
      <c r="I1" s="169"/>
      <c r="J1" s="71"/>
      <c r="K1" s="71"/>
    </row>
    <row r="2" ht="15.75" customHeight="1">
      <c r="A2" s="144"/>
      <c r="B2" s="145"/>
      <c r="C2" s="145"/>
      <c r="D2" s="145"/>
      <c r="E2" s="233"/>
      <c r="F2" s="112"/>
      <c r="G2" s="112"/>
      <c r="H2" s="112"/>
      <c r="I2" s="112"/>
      <c r="J2" s="113"/>
    </row>
    <row r="3" ht="15.75" customHeight="1">
      <c r="A3" s="178" t="s">
        <v>0</v>
      </c>
      <c r="B3" s="148" t="s">
        <v>1</v>
      </c>
      <c r="C3" s="148" t="s">
        <v>162</v>
      </c>
      <c r="D3" s="148" t="s">
        <v>3</v>
      </c>
      <c r="E3" s="83" t="s">
        <v>5</v>
      </c>
      <c r="F3" s="84" t="s">
        <v>6</v>
      </c>
      <c r="G3" s="84" t="s">
        <v>7</v>
      </c>
      <c r="H3" s="84" t="s">
        <v>8</v>
      </c>
      <c r="I3" s="84" t="s">
        <v>9</v>
      </c>
      <c r="J3" s="234"/>
    </row>
    <row r="4" ht="15.75" customHeight="1">
      <c r="A4" s="221"/>
      <c r="B4" s="88"/>
      <c r="C4" s="88"/>
      <c r="D4" s="88"/>
      <c r="E4" s="89" t="s">
        <v>422</v>
      </c>
      <c r="F4" s="90" t="s">
        <v>423</v>
      </c>
      <c r="G4" s="90" t="s">
        <v>424</v>
      </c>
      <c r="H4" s="90" t="s">
        <v>425</v>
      </c>
      <c r="I4" s="90" t="s">
        <v>426</v>
      </c>
      <c r="J4" s="234"/>
    </row>
    <row r="5" ht="15.75" customHeight="1">
      <c r="A5" s="154">
        <v>1.0</v>
      </c>
      <c r="B5" s="155">
        <v>8835.0</v>
      </c>
      <c r="C5" s="156" t="s">
        <v>486</v>
      </c>
      <c r="D5" s="157" t="s">
        <v>487</v>
      </c>
      <c r="E5" s="223">
        <v>67.0</v>
      </c>
      <c r="F5" s="223">
        <v>58.0</v>
      </c>
      <c r="G5" s="223"/>
      <c r="H5" s="224">
        <v>63.0</v>
      </c>
      <c r="I5" s="224">
        <v>51.0</v>
      </c>
      <c r="J5" s="235"/>
      <c r="K5" s="225">
        <f t="shared" ref="K5:K59" si="1">COUNTIF(E5:J5,"AB")+COUNTIF(E5:J5,"&lt;50")</f>
        <v>0</v>
      </c>
    </row>
    <row r="6" ht="15.75" customHeight="1">
      <c r="A6" s="154">
        <v>2.0</v>
      </c>
      <c r="B6" s="155">
        <v>8734.0</v>
      </c>
      <c r="C6" s="156" t="s">
        <v>488</v>
      </c>
      <c r="D6" s="157" t="s">
        <v>489</v>
      </c>
      <c r="E6" s="224">
        <v>88.0</v>
      </c>
      <c r="F6" s="98">
        <v>64.0</v>
      </c>
      <c r="G6" s="98"/>
      <c r="H6" s="236">
        <v>85.0</v>
      </c>
      <c r="I6" s="224">
        <v>79.0</v>
      </c>
      <c r="J6" s="188"/>
      <c r="K6" s="225">
        <f t="shared" si="1"/>
        <v>0</v>
      </c>
    </row>
    <row r="7" ht="15.75" customHeight="1">
      <c r="A7" s="154">
        <v>3.0</v>
      </c>
      <c r="B7" s="155">
        <v>9085.0</v>
      </c>
      <c r="C7" s="156" t="s">
        <v>490</v>
      </c>
      <c r="D7" s="157" t="s">
        <v>98</v>
      </c>
      <c r="E7" s="98">
        <v>78.0</v>
      </c>
      <c r="F7" s="98">
        <v>62.0</v>
      </c>
      <c r="G7" s="98"/>
      <c r="H7" s="98">
        <v>70.0</v>
      </c>
      <c r="I7" s="224">
        <v>61.0</v>
      </c>
      <c r="J7" s="188"/>
      <c r="K7" s="225">
        <f t="shared" si="1"/>
        <v>0</v>
      </c>
    </row>
    <row r="8" ht="15.75" customHeight="1">
      <c r="A8" s="154">
        <v>4.0</v>
      </c>
      <c r="B8" s="155">
        <v>8753.0</v>
      </c>
      <c r="C8" s="156" t="s">
        <v>491</v>
      </c>
      <c r="D8" s="157" t="s">
        <v>492</v>
      </c>
      <c r="E8" s="223">
        <v>82.0</v>
      </c>
      <c r="F8" s="98">
        <v>75.0</v>
      </c>
      <c r="G8" s="223"/>
      <c r="H8" s="223">
        <v>42.0</v>
      </c>
      <c r="I8" s="223">
        <v>61.0</v>
      </c>
      <c r="J8" s="188"/>
      <c r="K8" s="225">
        <f t="shared" si="1"/>
        <v>1</v>
      </c>
      <c r="N8" s="161"/>
    </row>
    <row r="9" ht="15.75" customHeight="1">
      <c r="A9" s="154">
        <v>5.0</v>
      </c>
      <c r="B9" s="155">
        <v>8797.0</v>
      </c>
      <c r="C9" s="156" t="s">
        <v>493</v>
      </c>
      <c r="D9" s="157" t="s">
        <v>494</v>
      </c>
      <c r="E9" s="98">
        <v>87.0</v>
      </c>
      <c r="F9" s="98">
        <v>69.0</v>
      </c>
      <c r="G9" s="98"/>
      <c r="H9" s="98">
        <v>77.0</v>
      </c>
      <c r="I9" s="224">
        <v>67.0</v>
      </c>
      <c r="J9" s="188"/>
      <c r="K9" s="225">
        <f t="shared" si="1"/>
        <v>0</v>
      </c>
    </row>
    <row r="10" ht="15.75" customHeight="1">
      <c r="A10" s="154">
        <v>6.0</v>
      </c>
      <c r="B10" s="155">
        <v>9004.0</v>
      </c>
      <c r="C10" s="156" t="s">
        <v>495</v>
      </c>
      <c r="D10" s="157" t="s">
        <v>496</v>
      </c>
      <c r="E10" s="223">
        <v>51.0</v>
      </c>
      <c r="F10" s="223">
        <v>64.0</v>
      </c>
      <c r="G10" s="98"/>
      <c r="H10" s="236">
        <v>63.0</v>
      </c>
      <c r="I10" s="224">
        <v>57.0</v>
      </c>
      <c r="J10" s="188"/>
      <c r="K10" s="225">
        <f t="shared" si="1"/>
        <v>0</v>
      </c>
    </row>
    <row r="11" ht="15.75" customHeight="1">
      <c r="A11" s="154">
        <v>7.0</v>
      </c>
      <c r="B11" s="155">
        <v>9062.0</v>
      </c>
      <c r="C11" s="156" t="s">
        <v>497</v>
      </c>
      <c r="D11" s="157" t="s">
        <v>498</v>
      </c>
      <c r="E11" s="223">
        <v>56.0</v>
      </c>
      <c r="F11" s="224">
        <v>65.0</v>
      </c>
      <c r="G11" s="236"/>
      <c r="H11" s="98">
        <v>50.0</v>
      </c>
      <c r="I11" s="98">
        <v>63.0</v>
      </c>
      <c r="J11" s="235"/>
      <c r="K11" s="225">
        <f t="shared" si="1"/>
        <v>0</v>
      </c>
    </row>
    <row r="12" ht="15.75" customHeight="1">
      <c r="A12" s="154">
        <v>8.0</v>
      </c>
      <c r="B12" s="155">
        <v>8763.0</v>
      </c>
      <c r="C12" s="156" t="s">
        <v>499</v>
      </c>
      <c r="D12" s="157" t="s">
        <v>500</v>
      </c>
      <c r="E12" s="224">
        <v>66.0</v>
      </c>
      <c r="F12" s="223">
        <v>68.0</v>
      </c>
      <c r="G12" s="98"/>
      <c r="H12" s="98">
        <v>73.0</v>
      </c>
      <c r="I12" s="224">
        <v>65.0</v>
      </c>
      <c r="J12" s="188"/>
      <c r="K12" s="225">
        <f t="shared" si="1"/>
        <v>0</v>
      </c>
      <c r="N12" s="161"/>
    </row>
    <row r="13" ht="15.75" customHeight="1">
      <c r="A13" s="154">
        <v>9.0</v>
      </c>
      <c r="B13" s="155">
        <v>8796.0</v>
      </c>
      <c r="C13" s="156" t="s">
        <v>501</v>
      </c>
      <c r="D13" s="157" t="s">
        <v>502</v>
      </c>
      <c r="E13" s="224">
        <v>86.0</v>
      </c>
      <c r="F13" s="224" t="s">
        <v>27</v>
      </c>
      <c r="G13" s="98"/>
      <c r="H13" s="98">
        <v>78.0</v>
      </c>
      <c r="I13" s="224">
        <v>71.0</v>
      </c>
      <c r="J13" s="188"/>
      <c r="K13" s="225">
        <f t="shared" si="1"/>
        <v>1</v>
      </c>
    </row>
    <row r="14" ht="15.75" customHeight="1">
      <c r="A14" s="154">
        <v>10.0</v>
      </c>
      <c r="B14" s="155">
        <v>8693.0</v>
      </c>
      <c r="C14" s="156" t="s">
        <v>503</v>
      </c>
      <c r="D14" s="157" t="s">
        <v>504</v>
      </c>
      <c r="E14" s="223">
        <v>29.0</v>
      </c>
      <c r="F14" s="223">
        <v>24.0</v>
      </c>
      <c r="G14" s="223"/>
      <c r="H14" s="98">
        <v>61.0</v>
      </c>
      <c r="I14" s="224">
        <v>55.0</v>
      </c>
      <c r="J14" s="235"/>
      <c r="K14" s="225">
        <f t="shared" si="1"/>
        <v>2</v>
      </c>
    </row>
    <row r="15" ht="15.75" customHeight="1">
      <c r="A15" s="154">
        <v>11.0</v>
      </c>
      <c r="B15" s="155">
        <v>9035.0</v>
      </c>
      <c r="C15" s="156" t="s">
        <v>505</v>
      </c>
      <c r="D15" s="157" t="s">
        <v>506</v>
      </c>
      <c r="E15" s="98" t="s">
        <v>27</v>
      </c>
      <c r="F15" s="224" t="s">
        <v>27</v>
      </c>
      <c r="G15" s="98"/>
      <c r="H15" s="98">
        <v>98.0</v>
      </c>
      <c r="I15" s="98">
        <v>70.0</v>
      </c>
      <c r="J15" s="188"/>
      <c r="K15" s="225">
        <f t="shared" si="1"/>
        <v>2</v>
      </c>
    </row>
    <row r="16" ht="15.75" customHeight="1">
      <c r="A16" s="154">
        <v>12.0</v>
      </c>
      <c r="B16" s="155">
        <v>9012.0</v>
      </c>
      <c r="C16" s="156" t="s">
        <v>507</v>
      </c>
      <c r="D16" s="157" t="s">
        <v>508</v>
      </c>
      <c r="E16" s="98" t="s">
        <v>27</v>
      </c>
      <c r="F16" s="224" t="s">
        <v>27</v>
      </c>
      <c r="G16" s="98"/>
      <c r="H16" s="98">
        <v>85.0</v>
      </c>
      <c r="I16" s="224">
        <v>72.0</v>
      </c>
      <c r="J16" s="188"/>
      <c r="K16" s="225">
        <f t="shared" si="1"/>
        <v>2</v>
      </c>
    </row>
    <row r="17" ht="15.75" customHeight="1">
      <c r="A17" s="154">
        <v>13.0</v>
      </c>
      <c r="B17" s="155">
        <v>9030.0</v>
      </c>
      <c r="C17" s="156" t="s">
        <v>509</v>
      </c>
      <c r="D17" s="157" t="s">
        <v>510</v>
      </c>
      <c r="E17" s="98">
        <v>84.0</v>
      </c>
      <c r="F17" s="224" t="s">
        <v>27</v>
      </c>
      <c r="G17" s="98"/>
      <c r="H17" s="98">
        <v>79.0</v>
      </c>
      <c r="I17" s="223">
        <v>70.0</v>
      </c>
      <c r="J17" s="188"/>
      <c r="K17" s="225">
        <f t="shared" si="1"/>
        <v>1</v>
      </c>
    </row>
    <row r="18" ht="15.75" customHeight="1">
      <c r="A18" s="154">
        <v>14.0</v>
      </c>
      <c r="B18" s="155">
        <v>8715.0</v>
      </c>
      <c r="C18" s="156" t="s">
        <v>511</v>
      </c>
      <c r="D18" s="157" t="s">
        <v>512</v>
      </c>
      <c r="E18" s="98">
        <v>83.0</v>
      </c>
      <c r="F18" s="98">
        <v>65.0</v>
      </c>
      <c r="G18" s="98"/>
      <c r="H18" s="223">
        <v>58.0</v>
      </c>
      <c r="I18" s="223">
        <v>60.0</v>
      </c>
      <c r="J18" s="188"/>
      <c r="K18" s="225">
        <f t="shared" si="1"/>
        <v>0</v>
      </c>
    </row>
    <row r="19" ht="15.75" customHeight="1">
      <c r="A19" s="154">
        <v>15.0</v>
      </c>
      <c r="B19" s="155">
        <v>9034.0</v>
      </c>
      <c r="C19" s="156" t="s">
        <v>513</v>
      </c>
      <c r="D19" s="157" t="s">
        <v>514</v>
      </c>
      <c r="E19" s="98">
        <v>57.0</v>
      </c>
      <c r="F19" s="223">
        <v>59.0</v>
      </c>
      <c r="G19" s="223"/>
      <c r="H19" s="98">
        <v>62.0</v>
      </c>
      <c r="I19" s="98">
        <v>55.0</v>
      </c>
      <c r="J19" s="188"/>
      <c r="K19" s="225">
        <f t="shared" si="1"/>
        <v>0</v>
      </c>
    </row>
    <row r="20" ht="15.75" customHeight="1">
      <c r="A20" s="154">
        <v>16.0</v>
      </c>
      <c r="B20" s="155">
        <v>9041.0</v>
      </c>
      <c r="C20" s="156" t="s">
        <v>515</v>
      </c>
      <c r="D20" s="157" t="s">
        <v>516</v>
      </c>
      <c r="E20" s="98">
        <v>81.0</v>
      </c>
      <c r="F20" s="98">
        <v>67.0</v>
      </c>
      <c r="G20" s="98"/>
      <c r="H20" s="98">
        <v>52.0</v>
      </c>
      <c r="I20" s="224">
        <v>72.0</v>
      </c>
      <c r="J20" s="188"/>
      <c r="K20" s="225">
        <f t="shared" si="1"/>
        <v>0</v>
      </c>
    </row>
    <row r="21" ht="15.75" customHeight="1">
      <c r="A21" s="154">
        <v>17.0</v>
      </c>
      <c r="B21" s="155">
        <v>8839.0</v>
      </c>
      <c r="C21" s="156" t="s">
        <v>517</v>
      </c>
      <c r="D21" s="157" t="s">
        <v>518</v>
      </c>
      <c r="E21" s="224">
        <v>37.0</v>
      </c>
      <c r="F21" s="98">
        <v>61.0</v>
      </c>
      <c r="G21" s="98"/>
      <c r="H21" s="98">
        <v>24.0</v>
      </c>
      <c r="I21" s="224">
        <v>55.0</v>
      </c>
      <c r="J21" s="235"/>
      <c r="K21" s="225">
        <f t="shared" si="1"/>
        <v>2</v>
      </c>
      <c r="N21" s="161"/>
      <c r="O21" s="161"/>
    </row>
    <row r="22" ht="15.75" customHeight="1">
      <c r="A22" s="154">
        <v>18.0</v>
      </c>
      <c r="B22" s="155">
        <v>8667.0</v>
      </c>
      <c r="C22" s="156" t="s">
        <v>519</v>
      </c>
      <c r="D22" s="157" t="s">
        <v>520</v>
      </c>
      <c r="E22" s="224">
        <v>26.0</v>
      </c>
      <c r="F22" s="223">
        <v>12.0</v>
      </c>
      <c r="G22" s="223"/>
      <c r="H22" s="223">
        <v>0.0</v>
      </c>
      <c r="I22" s="223">
        <v>5.0</v>
      </c>
      <c r="J22" s="235"/>
      <c r="K22" s="225">
        <f t="shared" si="1"/>
        <v>4</v>
      </c>
      <c r="N22" s="161"/>
      <c r="O22" s="161"/>
    </row>
    <row r="23" ht="15.75" customHeight="1">
      <c r="A23" s="154">
        <v>19.0</v>
      </c>
      <c r="B23" s="155">
        <v>8765.0</v>
      </c>
      <c r="C23" s="156" t="s">
        <v>521</v>
      </c>
      <c r="D23" s="157" t="s">
        <v>522</v>
      </c>
      <c r="E23" s="224">
        <v>87.0</v>
      </c>
      <c r="F23" s="98">
        <v>71.0</v>
      </c>
      <c r="G23" s="98"/>
      <c r="H23" s="98">
        <v>51.0</v>
      </c>
      <c r="I23" s="223">
        <v>72.0</v>
      </c>
      <c r="J23" s="188"/>
      <c r="K23" s="225">
        <f t="shared" si="1"/>
        <v>0</v>
      </c>
      <c r="N23" s="161"/>
      <c r="O23" s="161"/>
    </row>
    <row r="24" ht="15.75" customHeight="1">
      <c r="A24" s="154">
        <v>20.0</v>
      </c>
      <c r="B24" s="155">
        <v>8815.0</v>
      </c>
      <c r="C24" s="156" t="s">
        <v>523</v>
      </c>
      <c r="D24" s="157" t="s">
        <v>524</v>
      </c>
      <c r="E24" s="98">
        <v>80.0</v>
      </c>
      <c r="F24" s="98">
        <v>59.0</v>
      </c>
      <c r="G24" s="98"/>
      <c r="H24" s="98">
        <v>89.0</v>
      </c>
      <c r="I24" s="98">
        <v>78.0</v>
      </c>
      <c r="J24" s="188"/>
      <c r="K24" s="225">
        <f t="shared" si="1"/>
        <v>0</v>
      </c>
      <c r="N24" s="161"/>
      <c r="O24" s="161"/>
    </row>
    <row r="25" ht="15.75" customHeight="1">
      <c r="A25" s="154">
        <v>21.0</v>
      </c>
      <c r="B25" s="155">
        <v>8723.0</v>
      </c>
      <c r="C25" s="156" t="s">
        <v>525</v>
      </c>
      <c r="D25" s="157" t="s">
        <v>526</v>
      </c>
      <c r="E25" s="223">
        <v>67.0</v>
      </c>
      <c r="F25" s="224">
        <v>56.0</v>
      </c>
      <c r="G25" s="98"/>
      <c r="H25" s="98">
        <v>50.0</v>
      </c>
      <c r="I25" s="98">
        <v>60.0</v>
      </c>
      <c r="J25" s="188"/>
      <c r="K25" s="225">
        <f t="shared" si="1"/>
        <v>0</v>
      </c>
      <c r="N25" s="161"/>
      <c r="O25" s="161"/>
    </row>
    <row r="26" ht="15.75" customHeight="1">
      <c r="A26" s="154">
        <v>22.0</v>
      </c>
      <c r="B26" s="155">
        <v>8767.0</v>
      </c>
      <c r="C26" s="156" t="s">
        <v>527</v>
      </c>
      <c r="D26" s="157" t="s">
        <v>528</v>
      </c>
      <c r="E26" s="98">
        <v>64.0</v>
      </c>
      <c r="F26" s="224">
        <v>74.0</v>
      </c>
      <c r="G26" s="98"/>
      <c r="H26" s="98">
        <v>76.0</v>
      </c>
      <c r="I26" s="98">
        <v>65.0</v>
      </c>
      <c r="J26" s="188"/>
      <c r="K26" s="225">
        <f t="shared" si="1"/>
        <v>0</v>
      </c>
      <c r="N26" s="161"/>
      <c r="O26" s="161"/>
    </row>
    <row r="27" ht="15.75" customHeight="1">
      <c r="A27" s="154">
        <v>23.0</v>
      </c>
      <c r="B27" s="155">
        <v>8704.0</v>
      </c>
      <c r="C27" s="156" t="s">
        <v>529</v>
      </c>
      <c r="D27" s="157" t="s">
        <v>530</v>
      </c>
      <c r="E27" s="224">
        <v>84.0</v>
      </c>
      <c r="F27" s="224">
        <v>72.0</v>
      </c>
      <c r="G27" s="98"/>
      <c r="H27" s="98">
        <v>83.0</v>
      </c>
      <c r="I27" s="224">
        <v>81.0</v>
      </c>
      <c r="J27" s="188"/>
      <c r="K27" s="225">
        <f t="shared" si="1"/>
        <v>0</v>
      </c>
      <c r="N27" s="161"/>
      <c r="O27" s="161"/>
    </row>
    <row r="28" ht="15.75" customHeight="1">
      <c r="A28" s="154">
        <v>24.0</v>
      </c>
      <c r="B28" s="155">
        <v>9083.0</v>
      </c>
      <c r="C28" s="156" t="s">
        <v>531</v>
      </c>
      <c r="D28" s="157" t="s">
        <v>532</v>
      </c>
      <c r="E28" s="223">
        <v>52.0</v>
      </c>
      <c r="F28" s="223">
        <v>63.0</v>
      </c>
      <c r="G28" s="223"/>
      <c r="H28" s="98">
        <v>18.0</v>
      </c>
      <c r="I28" s="224">
        <v>53.0</v>
      </c>
      <c r="J28" s="235"/>
      <c r="K28" s="225">
        <f t="shared" si="1"/>
        <v>1</v>
      </c>
    </row>
    <row r="29" ht="15.75" customHeight="1">
      <c r="A29" s="154">
        <v>25.0</v>
      </c>
      <c r="B29" s="155">
        <v>8834.0</v>
      </c>
      <c r="C29" s="156" t="s">
        <v>533</v>
      </c>
      <c r="D29" s="157" t="s">
        <v>534</v>
      </c>
      <c r="E29" s="224">
        <v>18.0</v>
      </c>
      <c r="F29" s="223" t="s">
        <v>27</v>
      </c>
      <c r="G29" s="223"/>
      <c r="H29" s="224">
        <v>3.0</v>
      </c>
      <c r="I29" s="223">
        <v>14.0</v>
      </c>
      <c r="J29" s="235"/>
      <c r="K29" s="225">
        <f t="shared" si="1"/>
        <v>4</v>
      </c>
    </row>
    <row r="30" ht="15.75" customHeight="1">
      <c r="A30" s="154">
        <v>26.0</v>
      </c>
      <c r="B30" s="155">
        <v>8774.0</v>
      </c>
      <c r="C30" s="156" t="s">
        <v>535</v>
      </c>
      <c r="D30" s="157" t="s">
        <v>536</v>
      </c>
      <c r="E30" s="98">
        <v>79.0</v>
      </c>
      <c r="F30" s="98">
        <v>69.0</v>
      </c>
      <c r="G30" s="98"/>
      <c r="H30" s="224">
        <v>62.0</v>
      </c>
      <c r="I30" s="224">
        <v>55.0</v>
      </c>
      <c r="J30" s="188"/>
      <c r="K30" s="225">
        <f t="shared" si="1"/>
        <v>0</v>
      </c>
    </row>
    <row r="31" ht="15.75" customHeight="1">
      <c r="A31" s="154">
        <v>27.0</v>
      </c>
      <c r="B31" s="155">
        <v>8807.0</v>
      </c>
      <c r="C31" s="156" t="s">
        <v>537</v>
      </c>
      <c r="D31" s="157" t="s">
        <v>538</v>
      </c>
      <c r="E31" s="223">
        <v>55.0</v>
      </c>
      <c r="F31" s="224">
        <v>62.0</v>
      </c>
      <c r="G31" s="223"/>
      <c r="H31" s="98">
        <v>50.0</v>
      </c>
      <c r="I31" s="98">
        <v>53.0</v>
      </c>
      <c r="J31" s="188"/>
      <c r="K31" s="225">
        <f t="shared" si="1"/>
        <v>0</v>
      </c>
    </row>
    <row r="32" ht="15.75" customHeight="1">
      <c r="A32" s="154">
        <v>28.0</v>
      </c>
      <c r="B32" s="155">
        <v>8706.0</v>
      </c>
      <c r="C32" s="156" t="s">
        <v>539</v>
      </c>
      <c r="D32" s="157" t="s">
        <v>540</v>
      </c>
      <c r="E32" s="223">
        <v>39.0</v>
      </c>
      <c r="F32" s="223">
        <v>61.0</v>
      </c>
      <c r="G32" s="223"/>
      <c r="H32" s="224">
        <v>1.0</v>
      </c>
      <c r="I32" s="224">
        <v>6.0</v>
      </c>
      <c r="J32" s="235"/>
      <c r="K32" s="225">
        <f t="shared" si="1"/>
        <v>3</v>
      </c>
    </row>
    <row r="33" ht="15.75" customHeight="1">
      <c r="A33" s="154">
        <v>29.0</v>
      </c>
      <c r="B33" s="155">
        <v>8895.0</v>
      </c>
      <c r="C33" s="156" t="s">
        <v>541</v>
      </c>
      <c r="D33" s="157" t="s">
        <v>542</v>
      </c>
      <c r="E33" s="223">
        <v>27.0</v>
      </c>
      <c r="F33" s="223">
        <v>20.0</v>
      </c>
      <c r="G33" s="98"/>
      <c r="H33" s="98">
        <v>21.0</v>
      </c>
      <c r="I33" s="224">
        <v>4.0</v>
      </c>
      <c r="J33" s="235"/>
      <c r="K33" s="225">
        <f t="shared" si="1"/>
        <v>4</v>
      </c>
    </row>
    <row r="34" ht="15.75" customHeight="1">
      <c r="A34" s="154">
        <v>30.0</v>
      </c>
      <c r="B34" s="155">
        <v>8836.0</v>
      </c>
      <c r="C34" s="156" t="s">
        <v>543</v>
      </c>
      <c r="D34" s="157" t="s">
        <v>544</v>
      </c>
      <c r="E34" s="98">
        <v>81.0</v>
      </c>
      <c r="F34" s="224">
        <v>67.0</v>
      </c>
      <c r="G34" s="98"/>
      <c r="H34" s="98">
        <v>77.0</v>
      </c>
      <c r="I34" s="224">
        <v>72.0</v>
      </c>
      <c r="J34" s="188"/>
      <c r="K34" s="225">
        <f t="shared" si="1"/>
        <v>0</v>
      </c>
    </row>
    <row r="35" ht="15.75" customHeight="1">
      <c r="A35" s="154">
        <v>31.0</v>
      </c>
      <c r="B35" s="155">
        <v>9084.0</v>
      </c>
      <c r="C35" s="156" t="s">
        <v>545</v>
      </c>
      <c r="D35" s="157" t="s">
        <v>546</v>
      </c>
      <c r="E35" s="98">
        <v>72.0</v>
      </c>
      <c r="F35" s="98">
        <v>78.0</v>
      </c>
      <c r="G35" s="98"/>
      <c r="H35" s="98">
        <v>83.0</v>
      </c>
      <c r="I35" s="224">
        <v>76.0</v>
      </c>
      <c r="J35" s="188"/>
      <c r="K35" s="225">
        <f t="shared" si="1"/>
        <v>0</v>
      </c>
    </row>
    <row r="36" ht="15.75" customHeight="1">
      <c r="A36" s="154">
        <v>32.0</v>
      </c>
      <c r="B36" s="155">
        <v>9008.0</v>
      </c>
      <c r="C36" s="156" t="s">
        <v>547</v>
      </c>
      <c r="D36" s="157" t="s">
        <v>548</v>
      </c>
      <c r="E36" s="98">
        <v>85.0</v>
      </c>
      <c r="F36" s="98">
        <v>72.0</v>
      </c>
      <c r="G36" s="98"/>
      <c r="H36" s="98">
        <v>75.0</v>
      </c>
      <c r="I36" s="224">
        <v>71.0</v>
      </c>
      <c r="J36" s="188"/>
      <c r="K36" s="225">
        <f t="shared" si="1"/>
        <v>0</v>
      </c>
    </row>
    <row r="37" ht="15.75" customHeight="1">
      <c r="A37" s="154">
        <v>33.0</v>
      </c>
      <c r="B37" s="155">
        <v>9018.0</v>
      </c>
      <c r="C37" s="156" t="s">
        <v>549</v>
      </c>
      <c r="D37" s="157" t="s">
        <v>550</v>
      </c>
      <c r="E37" s="223">
        <v>53.0</v>
      </c>
      <c r="F37" s="223">
        <v>22.0</v>
      </c>
      <c r="G37" s="98"/>
      <c r="H37" s="224">
        <v>0.0</v>
      </c>
      <c r="I37" s="224">
        <v>35.0</v>
      </c>
      <c r="J37" s="235"/>
      <c r="K37" s="225">
        <f t="shared" si="1"/>
        <v>3</v>
      </c>
    </row>
    <row r="38" ht="15.75" customHeight="1">
      <c r="A38" s="154">
        <v>34.0</v>
      </c>
      <c r="B38" s="155">
        <v>9088.0</v>
      </c>
      <c r="C38" s="156" t="s">
        <v>551</v>
      </c>
      <c r="D38" s="157" t="s">
        <v>552</v>
      </c>
      <c r="E38" s="98">
        <v>86.0</v>
      </c>
      <c r="F38" s="224">
        <v>61.0</v>
      </c>
      <c r="G38" s="98"/>
      <c r="H38" s="98">
        <v>75.0</v>
      </c>
      <c r="I38" s="98">
        <v>69.0</v>
      </c>
      <c r="J38" s="188"/>
      <c r="K38" s="225">
        <f t="shared" si="1"/>
        <v>0</v>
      </c>
    </row>
    <row r="39" ht="15.75" customHeight="1">
      <c r="A39" s="154">
        <v>35.0</v>
      </c>
      <c r="B39" s="155">
        <v>9006.0</v>
      </c>
      <c r="C39" s="156" t="s">
        <v>553</v>
      </c>
      <c r="D39" s="157" t="s">
        <v>554</v>
      </c>
      <c r="E39" s="98">
        <v>82.0</v>
      </c>
      <c r="F39" s="98">
        <v>58.0</v>
      </c>
      <c r="G39" s="98"/>
      <c r="H39" s="98">
        <v>83.0</v>
      </c>
      <c r="I39" s="98">
        <v>76.0</v>
      </c>
      <c r="J39" s="188"/>
      <c r="K39" s="225">
        <f t="shared" si="1"/>
        <v>0</v>
      </c>
    </row>
    <row r="40" ht="15.75" customHeight="1">
      <c r="A40" s="154">
        <v>36.0</v>
      </c>
      <c r="B40" s="155">
        <v>8790.0</v>
      </c>
      <c r="C40" s="156" t="s">
        <v>555</v>
      </c>
      <c r="D40" s="157" t="s">
        <v>556</v>
      </c>
      <c r="E40" s="98">
        <v>83.0</v>
      </c>
      <c r="F40" s="223">
        <v>71.0</v>
      </c>
      <c r="G40" s="223"/>
      <c r="H40" s="98">
        <v>83.0</v>
      </c>
      <c r="I40" s="98">
        <v>65.0</v>
      </c>
      <c r="J40" s="188"/>
      <c r="K40" s="225">
        <f t="shared" si="1"/>
        <v>0</v>
      </c>
    </row>
    <row r="41" ht="15.75" customHeight="1">
      <c r="A41" s="154">
        <v>37.0</v>
      </c>
      <c r="B41" s="155">
        <v>8817.0</v>
      </c>
      <c r="C41" s="156" t="s">
        <v>557</v>
      </c>
      <c r="D41" s="157" t="s">
        <v>558</v>
      </c>
      <c r="E41" s="224">
        <v>71.0</v>
      </c>
      <c r="F41" s="224">
        <v>76.0</v>
      </c>
      <c r="G41" s="223"/>
      <c r="H41" s="98">
        <v>64.0</v>
      </c>
      <c r="I41" s="98">
        <v>60.0</v>
      </c>
      <c r="J41" s="188"/>
      <c r="K41" s="225">
        <f t="shared" si="1"/>
        <v>0</v>
      </c>
    </row>
    <row r="42" ht="15.75" customHeight="1">
      <c r="A42" s="154">
        <v>38.0</v>
      </c>
      <c r="B42" s="155">
        <v>8660.0</v>
      </c>
      <c r="C42" s="156" t="s">
        <v>559</v>
      </c>
      <c r="D42" s="157" t="s">
        <v>560</v>
      </c>
      <c r="E42" s="98">
        <v>74.0</v>
      </c>
      <c r="F42" s="98">
        <v>69.0</v>
      </c>
      <c r="G42" s="98"/>
      <c r="H42" s="98">
        <v>68.0</v>
      </c>
      <c r="I42" s="224">
        <v>62.0</v>
      </c>
      <c r="J42" s="188"/>
      <c r="K42" s="225">
        <f t="shared" si="1"/>
        <v>0</v>
      </c>
    </row>
    <row r="43" ht="15.75" customHeight="1">
      <c r="A43" s="154">
        <v>39.0</v>
      </c>
      <c r="B43" s="155">
        <v>8747.0</v>
      </c>
      <c r="C43" s="156" t="s">
        <v>561</v>
      </c>
      <c r="D43" s="157" t="s">
        <v>562</v>
      </c>
      <c r="E43" s="224">
        <v>15.0</v>
      </c>
      <c r="F43" s="223">
        <v>16.0</v>
      </c>
      <c r="G43" s="98"/>
      <c r="H43" s="98">
        <v>0.0</v>
      </c>
      <c r="I43" s="224">
        <v>15.0</v>
      </c>
      <c r="J43" s="235"/>
      <c r="K43" s="225">
        <f t="shared" si="1"/>
        <v>4</v>
      </c>
    </row>
    <row r="44" ht="15.75" customHeight="1">
      <c r="A44" s="154">
        <v>40.0</v>
      </c>
      <c r="B44" s="155">
        <v>8793.0</v>
      </c>
      <c r="C44" s="156" t="s">
        <v>563</v>
      </c>
      <c r="D44" s="157" t="s">
        <v>564</v>
      </c>
      <c r="E44" s="223">
        <v>31.0</v>
      </c>
      <c r="F44" s="223">
        <v>59.0</v>
      </c>
      <c r="G44" s="223"/>
      <c r="H44" s="224">
        <v>10.0</v>
      </c>
      <c r="I44" s="224">
        <v>4.0</v>
      </c>
      <c r="J44" s="235"/>
      <c r="K44" s="225">
        <f t="shared" si="1"/>
        <v>3</v>
      </c>
    </row>
    <row r="45" ht="15.75" customHeight="1">
      <c r="A45" s="154">
        <v>41.0</v>
      </c>
      <c r="B45" s="155">
        <v>9017.0</v>
      </c>
      <c r="C45" s="156" t="s">
        <v>565</v>
      </c>
      <c r="D45" s="157" t="s">
        <v>566</v>
      </c>
      <c r="E45" s="98">
        <v>82.0</v>
      </c>
      <c r="F45" s="98">
        <v>76.0</v>
      </c>
      <c r="G45" s="98"/>
      <c r="H45" s="224">
        <v>80.0</v>
      </c>
      <c r="I45" s="98">
        <v>63.0</v>
      </c>
      <c r="J45" s="188"/>
      <c r="K45" s="225">
        <f t="shared" si="1"/>
        <v>0</v>
      </c>
    </row>
    <row r="46" ht="15.75" customHeight="1">
      <c r="A46" s="154">
        <v>42.0</v>
      </c>
      <c r="B46" s="155">
        <v>9024.0</v>
      </c>
      <c r="C46" s="156" t="s">
        <v>567</v>
      </c>
      <c r="D46" s="157" t="s">
        <v>568</v>
      </c>
      <c r="E46" s="224">
        <v>50.0</v>
      </c>
      <c r="F46" s="98">
        <v>58.0</v>
      </c>
      <c r="G46" s="223"/>
      <c r="H46" s="98">
        <v>68.0</v>
      </c>
      <c r="I46" s="224">
        <v>56.0</v>
      </c>
      <c r="J46" s="188"/>
      <c r="K46" s="225">
        <f t="shared" si="1"/>
        <v>0</v>
      </c>
    </row>
    <row r="47" ht="15.75" customHeight="1">
      <c r="A47" s="154">
        <v>43.0</v>
      </c>
      <c r="B47" s="155">
        <v>8848.0</v>
      </c>
      <c r="C47" s="156" t="s">
        <v>569</v>
      </c>
      <c r="D47" s="157" t="s">
        <v>570</v>
      </c>
      <c r="E47" s="224">
        <v>85.0</v>
      </c>
      <c r="F47" s="224">
        <v>84.0</v>
      </c>
      <c r="G47" s="98"/>
      <c r="H47" s="98">
        <v>76.0</v>
      </c>
      <c r="I47" s="224">
        <v>76.0</v>
      </c>
      <c r="J47" s="188"/>
      <c r="K47" s="225">
        <f t="shared" si="1"/>
        <v>0</v>
      </c>
    </row>
    <row r="48" ht="15.75" customHeight="1">
      <c r="A48" s="154">
        <v>44.0</v>
      </c>
      <c r="B48" s="155">
        <v>8838.0</v>
      </c>
      <c r="C48" s="156" t="s">
        <v>571</v>
      </c>
      <c r="D48" s="157" t="s">
        <v>572</v>
      </c>
      <c r="E48" s="223">
        <v>33.0</v>
      </c>
      <c r="F48" s="223">
        <v>62.0</v>
      </c>
      <c r="G48" s="223"/>
      <c r="H48" s="224">
        <v>28.0</v>
      </c>
      <c r="I48" s="224">
        <v>28.0</v>
      </c>
      <c r="J48" s="235"/>
      <c r="K48" s="225">
        <f t="shared" si="1"/>
        <v>3</v>
      </c>
    </row>
    <row r="49" ht="15.75" customHeight="1">
      <c r="A49" s="154">
        <v>45.0</v>
      </c>
      <c r="B49" s="155">
        <v>8738.0</v>
      </c>
      <c r="C49" s="156" t="s">
        <v>573</v>
      </c>
      <c r="D49" s="157" t="s">
        <v>574</v>
      </c>
      <c r="E49" s="224">
        <v>8.0</v>
      </c>
      <c r="F49" s="223">
        <v>5.0</v>
      </c>
      <c r="G49" s="98"/>
      <c r="H49" s="224">
        <v>4.0</v>
      </c>
      <c r="I49" s="223">
        <v>0.0</v>
      </c>
      <c r="J49" s="235"/>
      <c r="K49" s="225">
        <f t="shared" si="1"/>
        <v>4</v>
      </c>
      <c r="M49" s="161"/>
    </row>
    <row r="50" ht="15.75" customHeight="1">
      <c r="A50" s="154">
        <v>46.0</v>
      </c>
      <c r="B50" s="155">
        <v>9033.0</v>
      </c>
      <c r="C50" s="156" t="s">
        <v>575</v>
      </c>
      <c r="D50" s="157" t="s">
        <v>576</v>
      </c>
      <c r="E50" s="98">
        <v>83.0</v>
      </c>
      <c r="F50" s="98">
        <v>78.0</v>
      </c>
      <c r="G50" s="98"/>
      <c r="H50" s="223">
        <v>89.0</v>
      </c>
      <c r="I50" s="224">
        <v>69.0</v>
      </c>
      <c r="J50" s="188"/>
      <c r="K50" s="225">
        <f t="shared" si="1"/>
        <v>0</v>
      </c>
    </row>
    <row r="51" ht="15.75" customHeight="1">
      <c r="A51" s="154">
        <v>47.0</v>
      </c>
      <c r="B51" s="155">
        <v>8895.0</v>
      </c>
      <c r="C51" s="156" t="s">
        <v>577</v>
      </c>
      <c r="D51" s="157" t="s">
        <v>578</v>
      </c>
      <c r="E51" s="223">
        <v>56.0</v>
      </c>
      <c r="F51" s="223">
        <v>54.0</v>
      </c>
      <c r="G51" s="223"/>
      <c r="H51" s="224">
        <v>0.0</v>
      </c>
      <c r="I51" s="98">
        <v>2.0</v>
      </c>
      <c r="J51" s="235"/>
      <c r="K51" s="225">
        <f t="shared" si="1"/>
        <v>2</v>
      </c>
    </row>
    <row r="52" ht="15.75" customHeight="1">
      <c r="A52" s="154">
        <v>48.0</v>
      </c>
      <c r="B52" s="155">
        <v>8749.0</v>
      </c>
      <c r="C52" s="156" t="s">
        <v>579</v>
      </c>
      <c r="D52" s="157" t="s">
        <v>580</v>
      </c>
      <c r="E52" s="224">
        <v>18.0</v>
      </c>
      <c r="F52" s="224">
        <v>67.0</v>
      </c>
      <c r="G52" s="223"/>
      <c r="H52" s="98">
        <v>50.0</v>
      </c>
      <c r="I52" s="224">
        <v>23.0</v>
      </c>
      <c r="J52" s="235"/>
      <c r="K52" s="225">
        <f t="shared" si="1"/>
        <v>2</v>
      </c>
    </row>
    <row r="53" ht="15.75" customHeight="1">
      <c r="A53" s="154">
        <v>49.0</v>
      </c>
      <c r="B53" s="155">
        <v>9021.0</v>
      </c>
      <c r="C53" s="156" t="s">
        <v>581</v>
      </c>
      <c r="D53" s="157" t="s">
        <v>582</v>
      </c>
      <c r="E53" s="98">
        <v>81.0</v>
      </c>
      <c r="F53" s="98">
        <v>75.0</v>
      </c>
      <c r="G53" s="98"/>
      <c r="H53" s="98">
        <v>88.0</v>
      </c>
      <c r="I53" s="224">
        <v>72.0</v>
      </c>
      <c r="J53" s="188"/>
      <c r="K53" s="225">
        <f t="shared" si="1"/>
        <v>0</v>
      </c>
    </row>
    <row r="54" ht="15.75" customHeight="1">
      <c r="A54" s="154">
        <v>50.0</v>
      </c>
      <c r="B54" s="155">
        <v>8995.0</v>
      </c>
      <c r="C54" s="156" t="s">
        <v>583</v>
      </c>
      <c r="D54" s="157" t="s">
        <v>584</v>
      </c>
      <c r="E54" s="98">
        <v>88.0</v>
      </c>
      <c r="F54" s="98">
        <v>84.0</v>
      </c>
      <c r="G54" s="98"/>
      <c r="H54" s="98">
        <v>75.0</v>
      </c>
      <c r="I54" s="224">
        <v>71.0</v>
      </c>
      <c r="J54" s="188"/>
      <c r="K54" s="225">
        <f t="shared" si="1"/>
        <v>0</v>
      </c>
    </row>
    <row r="55" ht="15.75" customHeight="1">
      <c r="A55" s="154">
        <v>51.0</v>
      </c>
      <c r="B55" s="155">
        <v>9039.0</v>
      </c>
      <c r="C55" s="156" t="s">
        <v>585</v>
      </c>
      <c r="D55" s="157" t="s">
        <v>586</v>
      </c>
      <c r="E55" s="98">
        <v>76.0</v>
      </c>
      <c r="F55" s="98">
        <v>72.0</v>
      </c>
      <c r="G55" s="98"/>
      <c r="H55" s="98">
        <v>76.0</v>
      </c>
      <c r="I55" s="224">
        <v>60.0</v>
      </c>
      <c r="J55" s="188"/>
      <c r="K55" s="225">
        <f t="shared" si="1"/>
        <v>0</v>
      </c>
    </row>
    <row r="56" ht="15.75" customHeight="1">
      <c r="A56" s="154">
        <v>52.0</v>
      </c>
      <c r="B56" s="155">
        <v>9013.0</v>
      </c>
      <c r="C56" s="156" t="s">
        <v>587</v>
      </c>
      <c r="D56" s="157" t="s">
        <v>588</v>
      </c>
      <c r="E56" s="98">
        <v>88.0</v>
      </c>
      <c r="F56" s="98">
        <v>68.0</v>
      </c>
      <c r="G56" s="98"/>
      <c r="H56" s="98">
        <v>89.0</v>
      </c>
      <c r="I56" s="224">
        <v>72.0</v>
      </c>
      <c r="J56" s="188"/>
      <c r="K56" s="225">
        <f t="shared" si="1"/>
        <v>0</v>
      </c>
    </row>
    <row r="57" ht="15.75" customHeight="1">
      <c r="A57" s="154">
        <v>53.0</v>
      </c>
      <c r="B57" s="155">
        <v>8695.0</v>
      </c>
      <c r="C57" s="156" t="s">
        <v>589</v>
      </c>
      <c r="D57" s="157" t="s">
        <v>590</v>
      </c>
      <c r="E57" s="224">
        <v>64.0</v>
      </c>
      <c r="F57" s="224">
        <v>81.0</v>
      </c>
      <c r="G57" s="98"/>
      <c r="H57" s="224">
        <v>68.0</v>
      </c>
      <c r="I57" s="224">
        <v>55.0</v>
      </c>
      <c r="J57" s="188"/>
      <c r="K57" s="225">
        <f t="shared" si="1"/>
        <v>0</v>
      </c>
    </row>
    <row r="58" ht="15.75" customHeight="1">
      <c r="A58" s="154">
        <v>54.0</v>
      </c>
      <c r="B58" s="155">
        <v>9038.0</v>
      </c>
      <c r="C58" s="156" t="s">
        <v>591</v>
      </c>
      <c r="D58" s="157" t="s">
        <v>592</v>
      </c>
      <c r="E58" s="224">
        <v>77.0</v>
      </c>
      <c r="F58" s="224">
        <v>79.0</v>
      </c>
      <c r="G58" s="98"/>
      <c r="H58" s="98">
        <v>77.0</v>
      </c>
      <c r="I58" s="224">
        <v>68.0</v>
      </c>
      <c r="J58" s="188"/>
      <c r="K58" s="225">
        <f t="shared" si="1"/>
        <v>0</v>
      </c>
    </row>
    <row r="59" ht="15.75" customHeight="1">
      <c r="A59" s="154">
        <v>55.0</v>
      </c>
      <c r="B59" s="155">
        <v>8691.0</v>
      </c>
      <c r="C59" s="156" t="s">
        <v>593</v>
      </c>
      <c r="D59" s="157" t="s">
        <v>594</v>
      </c>
      <c r="E59" s="223">
        <v>60.0</v>
      </c>
      <c r="F59" s="98">
        <v>63.0</v>
      </c>
      <c r="G59" s="223"/>
      <c r="H59" s="98">
        <v>50.0</v>
      </c>
      <c r="I59" s="224">
        <v>53.0</v>
      </c>
      <c r="J59" s="188"/>
      <c r="K59" s="225">
        <f t="shared" si="1"/>
        <v>0</v>
      </c>
      <c r="N59" s="161"/>
    </row>
    <row r="60" ht="15.75" customHeight="1">
      <c r="A60" s="154">
        <v>56.0</v>
      </c>
      <c r="B60" s="155">
        <v>9451.0</v>
      </c>
      <c r="C60" s="156" t="s">
        <v>595</v>
      </c>
      <c r="D60" s="157" t="s">
        <v>596</v>
      </c>
      <c r="E60" s="162">
        <v>68.0</v>
      </c>
      <c r="F60" s="223">
        <v>78.0</v>
      </c>
      <c r="G60" s="98"/>
      <c r="H60" s="223">
        <v>53.0</v>
      </c>
      <c r="I60" s="98">
        <v>52.0</v>
      </c>
      <c r="J60" s="188"/>
      <c r="K60" s="225">
        <f t="shared" ref="K60:K62" si="2">COUNTIF(F60:J60,"AB")+COUNTIF(F60:J60,"&lt;50")</f>
        <v>0</v>
      </c>
    </row>
    <row r="61" ht="15.75" customHeight="1">
      <c r="A61" s="154">
        <v>57.0</v>
      </c>
      <c r="B61" s="155">
        <v>9418.0</v>
      </c>
      <c r="C61" s="156" t="s">
        <v>597</v>
      </c>
      <c r="D61" s="157" t="s">
        <v>598</v>
      </c>
      <c r="E61" s="162">
        <v>60.0</v>
      </c>
      <c r="F61" s="223">
        <v>69.0</v>
      </c>
      <c r="G61" s="223"/>
      <c r="H61" s="224">
        <v>51.0</v>
      </c>
      <c r="I61" s="224">
        <v>52.0</v>
      </c>
      <c r="J61" s="235"/>
      <c r="K61" s="225">
        <f t="shared" si="2"/>
        <v>0</v>
      </c>
    </row>
    <row r="62" ht="15.75" customHeight="1">
      <c r="A62" s="154">
        <v>58.0</v>
      </c>
      <c r="B62" s="155">
        <v>9325.0</v>
      </c>
      <c r="C62" s="156" t="s">
        <v>599</v>
      </c>
      <c r="D62" s="157" t="s">
        <v>600</v>
      </c>
      <c r="E62" s="162">
        <v>16.0</v>
      </c>
      <c r="F62" s="223">
        <v>58.0</v>
      </c>
      <c r="G62" s="223"/>
      <c r="H62" s="98">
        <v>1.0</v>
      </c>
      <c r="I62" s="224">
        <v>3.0</v>
      </c>
      <c r="J62" s="188"/>
      <c r="K62" s="225">
        <f t="shared" si="2"/>
        <v>2</v>
      </c>
    </row>
    <row r="63" ht="15.75" customHeight="1">
      <c r="A63" s="154">
        <v>59.0</v>
      </c>
      <c r="B63" s="155">
        <v>9331.0</v>
      </c>
      <c r="C63" s="156" t="s">
        <v>601</v>
      </c>
      <c r="D63" s="157" t="s">
        <v>602</v>
      </c>
      <c r="E63" s="224">
        <v>30.0</v>
      </c>
      <c r="F63" s="223">
        <v>52.0</v>
      </c>
      <c r="G63" s="223"/>
      <c r="H63" s="224" t="s">
        <v>27</v>
      </c>
      <c r="I63" s="224" t="s">
        <v>27</v>
      </c>
      <c r="J63" s="235"/>
      <c r="K63" s="225">
        <f t="shared" ref="K63:K65" si="3">COUNTIF(E63:J63,"AB")+COUNTIF(E63:J63,"&lt;50")</f>
        <v>3</v>
      </c>
    </row>
    <row r="64" ht="15.75" customHeight="1">
      <c r="A64" s="154">
        <v>60.0</v>
      </c>
      <c r="B64" s="155">
        <v>9104.0</v>
      </c>
      <c r="C64" s="156" t="s">
        <v>603</v>
      </c>
      <c r="D64" s="157" t="s">
        <v>604</v>
      </c>
      <c r="E64" s="223">
        <v>26.0</v>
      </c>
      <c r="F64" s="223">
        <v>26.0</v>
      </c>
      <c r="G64" s="98"/>
      <c r="H64" s="224">
        <v>4.0</v>
      </c>
      <c r="I64" s="224">
        <v>5.0</v>
      </c>
      <c r="J64" s="235"/>
      <c r="K64" s="225">
        <f t="shared" si="3"/>
        <v>4</v>
      </c>
    </row>
    <row r="65" ht="15.75" customHeight="1">
      <c r="A65" s="154">
        <v>61.0</v>
      </c>
      <c r="B65" s="155">
        <v>9516.0</v>
      </c>
      <c r="C65" s="156" t="s">
        <v>605</v>
      </c>
      <c r="D65" s="157" t="s">
        <v>606</v>
      </c>
      <c r="E65" s="223">
        <v>50.0</v>
      </c>
      <c r="F65" s="223" t="s">
        <v>27</v>
      </c>
      <c r="G65" s="223"/>
      <c r="H65" s="224">
        <v>3.0</v>
      </c>
      <c r="I65" s="224">
        <v>4.0</v>
      </c>
      <c r="J65" s="235"/>
      <c r="K65" s="225">
        <f t="shared" si="3"/>
        <v>3</v>
      </c>
    </row>
    <row r="66" ht="15.75" customHeight="1">
      <c r="A66" s="189" t="s">
        <v>83</v>
      </c>
      <c r="B66" s="55"/>
      <c r="C66" s="55"/>
      <c r="D66" s="56"/>
      <c r="E66" s="98">
        <v>61.0</v>
      </c>
      <c r="F66" s="98">
        <v>61.0</v>
      </c>
      <c r="G66" s="98">
        <v>61.0</v>
      </c>
      <c r="H66" s="98">
        <v>61.0</v>
      </c>
      <c r="I66" s="98">
        <v>61.0</v>
      </c>
      <c r="J66" s="163">
        <v>61.0</v>
      </c>
    </row>
    <row r="67" ht="15.75" customHeight="1">
      <c r="A67" s="189" t="s">
        <v>84</v>
      </c>
      <c r="B67" s="55"/>
      <c r="C67" s="55"/>
      <c r="D67" s="56"/>
      <c r="E67" s="98">
        <v>59.0</v>
      </c>
      <c r="F67" s="98">
        <f t="shared" ref="F67:J67" si="4">F66-F68</f>
        <v>55</v>
      </c>
      <c r="G67" s="98">
        <f t="shared" si="4"/>
        <v>61</v>
      </c>
      <c r="H67" s="98">
        <f t="shared" si="4"/>
        <v>60</v>
      </c>
      <c r="I67" s="98">
        <f t="shared" si="4"/>
        <v>60</v>
      </c>
      <c r="J67" s="163">
        <f t="shared" si="4"/>
        <v>61</v>
      </c>
    </row>
    <row r="68" ht="15.75" customHeight="1">
      <c r="A68" s="189" t="s">
        <v>85</v>
      </c>
      <c r="B68" s="55"/>
      <c r="C68" s="55"/>
      <c r="D68" s="56"/>
      <c r="E68" s="98">
        <v>2.0</v>
      </c>
      <c r="F68" s="98">
        <f t="shared" ref="F68:J68" si="5">COUNTIF(F5:F65,"AB")</f>
        <v>6</v>
      </c>
      <c r="G68" s="98">
        <f t="shared" si="5"/>
        <v>0</v>
      </c>
      <c r="H68" s="98">
        <f t="shared" si="5"/>
        <v>1</v>
      </c>
      <c r="I68" s="98">
        <f t="shared" si="5"/>
        <v>1</v>
      </c>
      <c r="J68" s="163">
        <f t="shared" si="5"/>
        <v>0</v>
      </c>
    </row>
    <row r="69" ht="15.75" customHeight="1">
      <c r="A69" s="189" t="s">
        <v>86</v>
      </c>
      <c r="B69" s="55"/>
      <c r="C69" s="55"/>
      <c r="D69" s="56"/>
      <c r="E69" s="98">
        <v>44.0</v>
      </c>
      <c r="F69" s="98">
        <f t="shared" ref="F69:J69" si="6">COUNTIF(F5:F65,"&gt;=50")</f>
        <v>48</v>
      </c>
      <c r="G69" s="98">
        <f t="shared" si="6"/>
        <v>0</v>
      </c>
      <c r="H69" s="98">
        <f t="shared" si="6"/>
        <v>44</v>
      </c>
      <c r="I69" s="98">
        <f t="shared" si="6"/>
        <v>46</v>
      </c>
      <c r="J69" s="163">
        <f t="shared" si="6"/>
        <v>0</v>
      </c>
    </row>
    <row r="70" ht="15.75" customHeight="1">
      <c r="A70" s="189" t="s">
        <v>87</v>
      </c>
      <c r="B70" s="55"/>
      <c r="C70" s="55"/>
      <c r="D70" s="56"/>
      <c r="E70" s="98">
        <f t="shared" ref="E70:J70" si="7">E67-E69</f>
        <v>15</v>
      </c>
      <c r="F70" s="98">
        <f t="shared" si="7"/>
        <v>7</v>
      </c>
      <c r="G70" s="98">
        <f t="shared" si="7"/>
        <v>61</v>
      </c>
      <c r="H70" s="98">
        <f t="shared" si="7"/>
        <v>16</v>
      </c>
      <c r="I70" s="98">
        <f t="shared" si="7"/>
        <v>14</v>
      </c>
      <c r="J70" s="163">
        <f t="shared" si="7"/>
        <v>61</v>
      </c>
    </row>
    <row r="71" ht="15.75" customHeight="1">
      <c r="A71" s="189" t="s">
        <v>88</v>
      </c>
      <c r="B71" s="55"/>
      <c r="C71" s="55"/>
      <c r="D71" s="56"/>
      <c r="E71" s="164">
        <f t="shared" ref="E71:J71" si="8">(E69/E66)*100</f>
        <v>72.13114754</v>
      </c>
      <c r="F71" s="164">
        <f t="shared" si="8"/>
        <v>78.68852459</v>
      </c>
      <c r="G71" s="164">
        <f t="shared" si="8"/>
        <v>0</v>
      </c>
      <c r="H71" s="190">
        <f t="shared" si="8"/>
        <v>72.13114754</v>
      </c>
      <c r="I71" s="190">
        <f t="shared" si="8"/>
        <v>75.40983607</v>
      </c>
      <c r="J71" s="230">
        <f t="shared" si="8"/>
        <v>0</v>
      </c>
    </row>
    <row r="72" ht="15.75" customHeight="1">
      <c r="A72" s="192" t="s">
        <v>161</v>
      </c>
      <c r="B72" s="55"/>
      <c r="C72" s="55"/>
      <c r="D72" s="56"/>
      <c r="E72" s="98" t="s">
        <v>607</v>
      </c>
      <c r="F72" s="98">
        <f t="shared" ref="F72:J72" si="9">COUNTIF(F5:F65,"&lt;50")</f>
        <v>7</v>
      </c>
      <c r="G72" s="98">
        <f t="shared" si="9"/>
        <v>0</v>
      </c>
      <c r="H72" s="98">
        <f t="shared" si="9"/>
        <v>16</v>
      </c>
      <c r="I72" s="98">
        <f t="shared" si="9"/>
        <v>14</v>
      </c>
      <c r="J72" s="163">
        <f t="shared" si="9"/>
        <v>0</v>
      </c>
      <c r="K72" s="237"/>
    </row>
    <row r="73" ht="15.75" customHeight="1">
      <c r="A73" s="193" t="s">
        <v>91</v>
      </c>
      <c r="B73" s="55"/>
      <c r="C73" s="55"/>
      <c r="D73" s="56"/>
      <c r="E73" s="98">
        <v>10.0</v>
      </c>
      <c r="F73" s="98">
        <f t="shared" ref="F73:J73" si="10">COUNTIFS(F5:F65, "&gt;=50",F5:F65, "&lt;=55")</f>
        <v>2</v>
      </c>
      <c r="G73" s="98">
        <f t="shared" si="10"/>
        <v>0</v>
      </c>
      <c r="H73" s="98">
        <f t="shared" si="10"/>
        <v>9</v>
      </c>
      <c r="I73" s="98">
        <f t="shared" si="10"/>
        <v>11</v>
      </c>
      <c r="J73" s="163">
        <f t="shared" si="10"/>
        <v>0</v>
      </c>
      <c r="K73" s="169"/>
    </row>
    <row r="74" ht="15.75" customHeight="1">
      <c r="A74" s="193" t="s">
        <v>92</v>
      </c>
      <c r="B74" s="55"/>
      <c r="C74" s="55"/>
      <c r="D74" s="56"/>
      <c r="E74" s="98">
        <v>5.0</v>
      </c>
      <c r="F74" s="98">
        <f t="shared" ref="F74:J74" si="11">COUNTIFS(F5:F65, "&gt;=56",F5:F65, "&lt;=60")</f>
        <v>8</v>
      </c>
      <c r="G74" s="98">
        <f t="shared" si="11"/>
        <v>0</v>
      </c>
      <c r="H74" s="98">
        <f t="shared" si="11"/>
        <v>1</v>
      </c>
      <c r="I74" s="98">
        <f t="shared" si="11"/>
        <v>6</v>
      </c>
      <c r="J74" s="163">
        <f t="shared" si="11"/>
        <v>0</v>
      </c>
    </row>
    <row r="75" ht="15.75" customHeight="1">
      <c r="A75" s="193" t="s">
        <v>93</v>
      </c>
      <c r="B75" s="55"/>
      <c r="C75" s="55"/>
      <c r="D75" s="56"/>
      <c r="E75" s="98">
        <v>6.0</v>
      </c>
      <c r="F75" s="98">
        <f t="shared" ref="F75:J75" si="12">COUNTIFS(F5:F65, "&gt;=61",F5:F65, "&lt;=70")</f>
        <v>21</v>
      </c>
      <c r="G75" s="98">
        <f t="shared" si="12"/>
        <v>0</v>
      </c>
      <c r="H75" s="98">
        <f t="shared" si="12"/>
        <v>10</v>
      </c>
      <c r="I75" s="98">
        <f t="shared" si="12"/>
        <v>14</v>
      </c>
      <c r="J75" s="163">
        <f t="shared" si="12"/>
        <v>0</v>
      </c>
    </row>
    <row r="76" ht="15.75" customHeight="1">
      <c r="A76" s="193" t="s">
        <v>94</v>
      </c>
      <c r="B76" s="55"/>
      <c r="C76" s="55"/>
      <c r="D76" s="56"/>
      <c r="E76" s="98">
        <v>7.0</v>
      </c>
      <c r="F76" s="98">
        <f t="shared" ref="F76:J76" si="13">COUNTIFS(F5:F65, "&gt;=71",F5:F65, "&lt;=80")</f>
        <v>14</v>
      </c>
      <c r="G76" s="98">
        <f t="shared" si="13"/>
        <v>0</v>
      </c>
      <c r="H76" s="98">
        <f t="shared" si="13"/>
        <v>13</v>
      </c>
      <c r="I76" s="98">
        <f t="shared" si="13"/>
        <v>14</v>
      </c>
      <c r="J76" s="163">
        <f t="shared" si="13"/>
        <v>0</v>
      </c>
    </row>
    <row r="77" ht="15.75" customHeight="1">
      <c r="A77" s="193" t="s">
        <v>95</v>
      </c>
      <c r="B77" s="55"/>
      <c r="C77" s="55"/>
      <c r="D77" s="56"/>
      <c r="E77" s="98">
        <v>20.0</v>
      </c>
      <c r="F77" s="98">
        <f t="shared" ref="F77:J77" si="14">COUNTIFS(F5:F65, "&gt;=81",F5:F65, "&lt;=90")</f>
        <v>3</v>
      </c>
      <c r="G77" s="98">
        <f t="shared" si="14"/>
        <v>0</v>
      </c>
      <c r="H77" s="98">
        <f t="shared" si="14"/>
        <v>10</v>
      </c>
      <c r="I77" s="98">
        <f t="shared" si="14"/>
        <v>1</v>
      </c>
      <c r="J77" s="163">
        <f t="shared" si="14"/>
        <v>0</v>
      </c>
    </row>
    <row r="78" ht="15.75" customHeight="1">
      <c r="A78" s="194" t="s">
        <v>96</v>
      </c>
      <c r="B78" s="7"/>
      <c r="C78" s="7"/>
      <c r="D78" s="8"/>
      <c r="E78" s="167">
        <f t="shared" ref="E78:J78" si="15">COUNTIFS(E5:E65, "&gt;=91",E5:E65, "&lt;=100")</f>
        <v>0</v>
      </c>
      <c r="F78" s="195">
        <f t="shared" si="15"/>
        <v>0</v>
      </c>
      <c r="G78" s="195">
        <f t="shared" si="15"/>
        <v>0</v>
      </c>
      <c r="H78" s="195">
        <f t="shared" si="15"/>
        <v>1</v>
      </c>
      <c r="I78" s="195">
        <f t="shared" si="15"/>
        <v>0</v>
      </c>
      <c r="J78" s="232">
        <f t="shared" si="15"/>
        <v>0</v>
      </c>
    </row>
    <row r="79" ht="15.75" customHeight="1">
      <c r="A79" s="168"/>
      <c r="B79" s="168"/>
      <c r="C79" s="168"/>
      <c r="E79" s="169"/>
      <c r="F79" s="169"/>
      <c r="G79" s="169"/>
      <c r="H79" s="169"/>
      <c r="I79" s="169"/>
    </row>
    <row r="80" ht="15.75" customHeight="1">
      <c r="A80" s="168"/>
      <c r="B80" s="168"/>
      <c r="C80" s="168"/>
      <c r="E80" s="169">
        <f t="shared" ref="E80:J80" si="16">SUM(E72:E78)</f>
        <v>48</v>
      </c>
      <c r="F80" s="169">
        <f t="shared" si="16"/>
        <v>55</v>
      </c>
      <c r="G80" s="169">
        <f t="shared" si="16"/>
        <v>0</v>
      </c>
      <c r="H80" s="169">
        <f t="shared" si="16"/>
        <v>60</v>
      </c>
      <c r="I80" s="169">
        <f t="shared" si="16"/>
        <v>60</v>
      </c>
      <c r="J80" s="169">
        <f t="shared" si="16"/>
        <v>0</v>
      </c>
    </row>
    <row r="81" ht="15.75" customHeight="1">
      <c r="A81" s="168"/>
      <c r="B81" s="168"/>
      <c r="C81" s="168"/>
      <c r="E81" s="169"/>
      <c r="F81" s="169"/>
      <c r="G81" s="169"/>
      <c r="H81" s="169"/>
      <c r="I81" s="169"/>
    </row>
    <row r="82" ht="15.75" customHeight="1">
      <c r="A82" s="168"/>
      <c r="B82" s="168"/>
      <c r="C82" s="168"/>
      <c r="E82" s="169"/>
      <c r="F82" s="169"/>
      <c r="G82" s="169"/>
      <c r="H82" s="169"/>
      <c r="I82" s="169"/>
    </row>
    <row r="83" ht="15.75" customHeight="1">
      <c r="A83" s="168"/>
      <c r="B83" s="168"/>
      <c r="C83" s="168"/>
      <c r="E83" s="169"/>
      <c r="F83" s="169"/>
      <c r="G83" s="169"/>
      <c r="H83" s="169"/>
      <c r="I83" s="169"/>
    </row>
    <row r="84" ht="15.75" customHeight="1">
      <c r="A84" s="168"/>
      <c r="B84" s="168"/>
      <c r="C84" s="168"/>
      <c r="D84" s="168"/>
      <c r="E84" s="169"/>
      <c r="F84" s="169"/>
      <c r="G84" s="169"/>
      <c r="H84" s="169"/>
      <c r="I84" s="169"/>
    </row>
    <row r="85" ht="15.75" customHeight="1">
      <c r="A85" s="168"/>
      <c r="B85" s="168"/>
      <c r="C85" s="168"/>
      <c r="D85" s="168"/>
      <c r="E85" s="169"/>
      <c r="F85" s="169"/>
      <c r="G85" s="169"/>
      <c r="H85" s="169"/>
      <c r="I85" s="169"/>
    </row>
    <row r="86" ht="15.75" customHeight="1">
      <c r="A86" s="168"/>
      <c r="B86" s="168"/>
      <c r="C86" s="168"/>
      <c r="D86" s="168"/>
      <c r="E86" s="169"/>
      <c r="F86" s="169"/>
      <c r="G86" s="169"/>
      <c r="H86" s="169"/>
      <c r="I86" s="169"/>
    </row>
    <row r="87" ht="15.75" customHeight="1">
      <c r="A87" s="168"/>
      <c r="B87" s="168"/>
      <c r="C87" s="168"/>
      <c r="D87" s="168"/>
      <c r="E87" s="169"/>
      <c r="F87" s="169"/>
      <c r="G87" s="169"/>
      <c r="H87" s="169"/>
      <c r="I87" s="169"/>
    </row>
    <row r="88" ht="15.75" customHeight="1">
      <c r="A88" s="168"/>
      <c r="B88" s="168"/>
      <c r="C88" s="168"/>
      <c r="D88" s="168"/>
      <c r="E88" s="169"/>
      <c r="F88" s="169"/>
      <c r="G88" s="169"/>
      <c r="H88" s="169"/>
      <c r="I88" s="169"/>
    </row>
    <row r="89" ht="15.75" customHeight="1">
      <c r="A89" s="168"/>
      <c r="B89" s="168"/>
      <c r="C89" s="168"/>
      <c r="D89" s="168"/>
      <c r="E89" s="169"/>
      <c r="F89" s="169"/>
      <c r="G89" s="169"/>
      <c r="H89" s="169"/>
      <c r="I89" s="169"/>
    </row>
    <row r="90" ht="15.75" customHeight="1">
      <c r="A90" s="168"/>
      <c r="B90" s="168"/>
      <c r="C90" s="168"/>
      <c r="D90" s="168"/>
      <c r="E90" s="169"/>
      <c r="F90" s="169"/>
      <c r="G90" s="169"/>
      <c r="H90" s="169"/>
      <c r="I90" s="169"/>
    </row>
    <row r="91" ht="15.75" customHeight="1">
      <c r="A91" s="168"/>
      <c r="B91" s="168"/>
      <c r="C91" s="168"/>
      <c r="D91" s="168"/>
      <c r="E91" s="169"/>
      <c r="F91" s="169"/>
      <c r="G91" s="169"/>
      <c r="H91" s="169"/>
      <c r="I91" s="169"/>
    </row>
    <row r="92" ht="15.75" customHeight="1">
      <c r="A92" s="168"/>
      <c r="B92" s="168"/>
      <c r="C92" s="168"/>
      <c r="D92" s="168"/>
      <c r="E92" s="169"/>
      <c r="F92" s="169"/>
      <c r="G92" s="169"/>
      <c r="H92" s="169"/>
      <c r="I92" s="169"/>
    </row>
    <row r="93" ht="15.75" customHeight="1">
      <c r="A93" s="168"/>
      <c r="B93" s="168"/>
      <c r="C93" s="168"/>
      <c r="D93" s="168"/>
      <c r="E93" s="169"/>
      <c r="F93" s="169"/>
      <c r="G93" s="169"/>
      <c r="H93" s="169"/>
      <c r="I93" s="169"/>
    </row>
    <row r="94" ht="15.75" customHeight="1">
      <c r="A94" s="168"/>
      <c r="B94" s="168"/>
      <c r="C94" s="168"/>
      <c r="D94" s="168"/>
      <c r="E94" s="169"/>
      <c r="F94" s="169"/>
      <c r="G94" s="169"/>
      <c r="H94" s="169"/>
      <c r="I94" s="169"/>
    </row>
    <row r="95" ht="15.75" customHeight="1">
      <c r="A95" s="168"/>
      <c r="B95" s="168"/>
      <c r="C95" s="168"/>
      <c r="D95" s="168"/>
      <c r="E95" s="169"/>
      <c r="F95" s="169"/>
      <c r="G95" s="169"/>
      <c r="H95" s="169"/>
      <c r="I95" s="169"/>
    </row>
    <row r="96" ht="15.75" customHeight="1">
      <c r="A96" s="168"/>
      <c r="B96" s="168"/>
      <c r="C96" s="168"/>
      <c r="D96" s="168"/>
      <c r="E96" s="169"/>
      <c r="F96" s="169"/>
      <c r="G96" s="169"/>
      <c r="H96" s="169"/>
      <c r="I96" s="169"/>
    </row>
    <row r="97" ht="15.75" customHeight="1">
      <c r="A97" s="168"/>
      <c r="B97" s="168"/>
      <c r="C97" s="168"/>
      <c r="D97" s="168"/>
      <c r="E97" s="169"/>
      <c r="F97" s="169"/>
      <c r="G97" s="169"/>
      <c r="H97" s="169"/>
      <c r="I97" s="169"/>
    </row>
    <row r="98" ht="15.75" customHeight="1">
      <c r="A98" s="168"/>
      <c r="B98" s="168"/>
      <c r="C98" s="168"/>
      <c r="D98" s="168"/>
      <c r="E98" s="169"/>
      <c r="F98" s="169"/>
      <c r="G98" s="169"/>
      <c r="H98" s="169"/>
      <c r="I98" s="169"/>
    </row>
    <row r="99" ht="15.75" customHeight="1">
      <c r="A99" s="168"/>
      <c r="B99" s="168"/>
      <c r="C99" s="168"/>
      <c r="D99" s="168"/>
      <c r="E99" s="169"/>
      <c r="F99" s="169"/>
      <c r="G99" s="169"/>
      <c r="H99" s="169"/>
      <c r="I99" s="169"/>
    </row>
    <row r="100" ht="15.75" customHeight="1">
      <c r="A100" s="168"/>
      <c r="B100" s="168"/>
      <c r="C100" s="168"/>
      <c r="D100" s="168"/>
      <c r="E100" s="169"/>
      <c r="F100" s="169"/>
      <c r="G100" s="169"/>
      <c r="H100" s="169"/>
      <c r="I100" s="169"/>
    </row>
    <row r="101" ht="15.75" customHeight="1">
      <c r="A101" s="168"/>
      <c r="B101" s="168"/>
      <c r="C101" s="168"/>
      <c r="D101" s="168"/>
      <c r="E101" s="169"/>
      <c r="F101" s="169"/>
      <c r="G101" s="169"/>
      <c r="H101" s="169"/>
      <c r="I101" s="169"/>
    </row>
    <row r="102" ht="15.75" customHeight="1">
      <c r="A102" s="168"/>
      <c r="B102" s="168"/>
      <c r="C102" s="168"/>
      <c r="D102" s="168"/>
      <c r="E102" s="169"/>
      <c r="F102" s="169"/>
      <c r="G102" s="169"/>
      <c r="H102" s="169"/>
      <c r="I102" s="169"/>
    </row>
    <row r="103" ht="15.75" customHeight="1">
      <c r="A103" s="168"/>
      <c r="B103" s="168"/>
      <c r="C103" s="168"/>
      <c r="D103" s="168"/>
      <c r="E103" s="169"/>
      <c r="F103" s="169"/>
      <c r="G103" s="169"/>
      <c r="H103" s="169"/>
      <c r="I103" s="169"/>
    </row>
    <row r="104" ht="15.75" customHeight="1">
      <c r="A104" s="168"/>
      <c r="B104" s="168"/>
      <c r="C104" s="168"/>
      <c r="D104" s="168"/>
      <c r="E104" s="169"/>
      <c r="F104" s="169"/>
      <c r="G104" s="169"/>
      <c r="H104" s="169"/>
      <c r="I104" s="169"/>
    </row>
    <row r="105" ht="15.75" customHeight="1">
      <c r="A105" s="168"/>
      <c r="B105" s="168"/>
      <c r="C105" s="168"/>
      <c r="D105" s="168"/>
      <c r="E105" s="169"/>
      <c r="F105" s="169"/>
      <c r="G105" s="169"/>
      <c r="H105" s="169"/>
      <c r="I105" s="169"/>
    </row>
    <row r="106" ht="15.75" customHeight="1">
      <c r="A106" s="168"/>
      <c r="B106" s="168"/>
      <c r="C106" s="168"/>
      <c r="D106" s="168"/>
      <c r="E106" s="169"/>
      <c r="F106" s="169"/>
      <c r="G106" s="169"/>
      <c r="H106" s="169"/>
      <c r="I106" s="169"/>
    </row>
    <row r="107" ht="15.75" customHeight="1">
      <c r="A107" s="168"/>
      <c r="B107" s="168"/>
      <c r="C107" s="168"/>
      <c r="D107" s="168"/>
      <c r="E107" s="169"/>
      <c r="F107" s="169"/>
      <c r="G107" s="169"/>
      <c r="H107" s="169"/>
      <c r="I107" s="169"/>
    </row>
    <row r="108" ht="15.75" customHeight="1">
      <c r="A108" s="168"/>
      <c r="B108" s="168"/>
      <c r="C108" s="168"/>
      <c r="D108" s="168"/>
      <c r="E108" s="169"/>
      <c r="F108" s="169"/>
      <c r="G108" s="169"/>
      <c r="H108" s="169"/>
      <c r="I108" s="169"/>
    </row>
    <row r="109" ht="15.75" customHeight="1">
      <c r="A109" s="168"/>
      <c r="B109" s="168"/>
      <c r="C109" s="168"/>
      <c r="D109" s="168"/>
      <c r="E109" s="169"/>
      <c r="F109" s="169"/>
      <c r="G109" s="169"/>
      <c r="H109" s="169"/>
      <c r="I109" s="169"/>
    </row>
    <row r="110" ht="15.75" customHeight="1">
      <c r="A110" s="168"/>
      <c r="B110" s="168"/>
      <c r="C110" s="168"/>
      <c r="D110" s="168"/>
      <c r="E110" s="169"/>
      <c r="F110" s="169"/>
      <c r="G110" s="169"/>
      <c r="H110" s="169"/>
      <c r="I110" s="169"/>
    </row>
    <row r="111" ht="15.75" customHeight="1">
      <c r="A111" s="168"/>
      <c r="B111" s="168"/>
      <c r="C111" s="168"/>
      <c r="D111" s="168"/>
      <c r="E111" s="169"/>
      <c r="F111" s="169"/>
      <c r="G111" s="169"/>
      <c r="H111" s="169"/>
      <c r="I111" s="169"/>
    </row>
    <row r="112" ht="15.75" customHeight="1">
      <c r="A112" s="168"/>
      <c r="B112" s="168"/>
      <c r="C112" s="168"/>
      <c r="D112" s="168"/>
      <c r="E112" s="169"/>
      <c r="F112" s="169"/>
      <c r="G112" s="169"/>
      <c r="H112" s="169"/>
      <c r="I112" s="169"/>
    </row>
    <row r="113" ht="15.75" customHeight="1">
      <c r="A113" s="168"/>
      <c r="B113" s="168"/>
      <c r="C113" s="168"/>
      <c r="D113" s="168"/>
      <c r="E113" s="169"/>
      <c r="F113" s="169"/>
      <c r="G113" s="169"/>
      <c r="H113" s="169"/>
      <c r="I113" s="169"/>
    </row>
    <row r="114" ht="15.75" customHeight="1">
      <c r="A114" s="168"/>
      <c r="B114" s="168"/>
      <c r="C114" s="168"/>
      <c r="D114" s="168"/>
      <c r="E114" s="169"/>
      <c r="F114" s="169"/>
      <c r="G114" s="169"/>
      <c r="H114" s="169"/>
      <c r="I114" s="169"/>
    </row>
    <row r="115" ht="15.75" customHeight="1">
      <c r="A115" s="168"/>
      <c r="B115" s="168"/>
      <c r="C115" s="168"/>
      <c r="D115" s="168"/>
      <c r="E115" s="169"/>
      <c r="F115" s="169"/>
      <c r="G115" s="169"/>
      <c r="H115" s="169"/>
      <c r="I115" s="169"/>
    </row>
    <row r="116" ht="15.75" customHeight="1">
      <c r="A116" s="168"/>
      <c r="B116" s="168"/>
      <c r="C116" s="168"/>
      <c r="D116" s="168"/>
      <c r="E116" s="169"/>
      <c r="F116" s="169"/>
      <c r="G116" s="169"/>
      <c r="H116" s="169"/>
      <c r="I116" s="169"/>
    </row>
    <row r="117" ht="15.75" customHeight="1">
      <c r="A117" s="168"/>
      <c r="B117" s="168"/>
      <c r="C117" s="168"/>
      <c r="D117" s="168"/>
      <c r="E117" s="169"/>
      <c r="F117" s="169"/>
      <c r="G117" s="169"/>
      <c r="H117" s="169"/>
      <c r="I117" s="169"/>
    </row>
    <row r="118" ht="15.75" customHeight="1">
      <c r="A118" s="168"/>
      <c r="B118" s="168"/>
      <c r="C118" s="168"/>
      <c r="D118" s="168"/>
      <c r="E118" s="169"/>
      <c r="F118" s="169"/>
      <c r="G118" s="169"/>
      <c r="H118" s="169"/>
      <c r="I118" s="169"/>
    </row>
    <row r="119" ht="15.75" customHeight="1">
      <c r="A119" s="168"/>
      <c r="B119" s="168"/>
      <c r="C119" s="168"/>
      <c r="D119" s="168"/>
      <c r="E119" s="169"/>
      <c r="F119" s="169"/>
      <c r="G119" s="169"/>
      <c r="H119" s="169"/>
      <c r="I119" s="169"/>
    </row>
    <row r="120" ht="15.75" customHeight="1">
      <c r="A120" s="168"/>
      <c r="B120" s="168"/>
      <c r="C120" s="168"/>
      <c r="D120" s="168"/>
      <c r="E120" s="169"/>
      <c r="F120" s="169"/>
      <c r="G120" s="169"/>
      <c r="H120" s="169"/>
      <c r="I120" s="169"/>
    </row>
    <row r="121" ht="15.75" customHeight="1">
      <c r="A121" s="168"/>
      <c r="B121" s="168"/>
      <c r="C121" s="168"/>
      <c r="D121" s="168"/>
      <c r="E121" s="169"/>
      <c r="F121" s="169"/>
      <c r="G121" s="169"/>
      <c r="H121" s="169"/>
      <c r="I121" s="169"/>
    </row>
    <row r="122" ht="15.75" customHeight="1">
      <c r="A122" s="168"/>
      <c r="B122" s="168"/>
      <c r="C122" s="168"/>
      <c r="D122" s="168"/>
      <c r="E122" s="169"/>
      <c r="F122" s="169"/>
      <c r="G122" s="169"/>
      <c r="H122" s="169"/>
      <c r="I122" s="169"/>
    </row>
    <row r="123" ht="15.75" customHeight="1">
      <c r="A123" s="168"/>
      <c r="B123" s="168"/>
      <c r="C123" s="168"/>
      <c r="D123" s="168"/>
      <c r="E123" s="169"/>
      <c r="F123" s="169"/>
      <c r="G123" s="169"/>
      <c r="H123" s="169"/>
      <c r="I123" s="169"/>
    </row>
    <row r="124" ht="15.75" customHeight="1">
      <c r="A124" s="168"/>
      <c r="B124" s="168"/>
      <c r="C124" s="168"/>
      <c r="D124" s="168"/>
      <c r="E124" s="169"/>
      <c r="F124" s="169"/>
      <c r="G124" s="169"/>
      <c r="H124" s="169"/>
      <c r="I124" s="169"/>
    </row>
    <row r="125" ht="15.75" customHeight="1">
      <c r="A125" s="168"/>
      <c r="B125" s="168"/>
      <c r="C125" s="168"/>
      <c r="D125" s="168"/>
      <c r="E125" s="169"/>
      <c r="F125" s="169"/>
      <c r="G125" s="169"/>
      <c r="H125" s="169"/>
      <c r="I125" s="169"/>
    </row>
    <row r="126" ht="15.75" customHeight="1">
      <c r="A126" s="168"/>
      <c r="B126" s="168"/>
      <c r="C126" s="168"/>
      <c r="D126" s="168"/>
      <c r="E126" s="169"/>
      <c r="F126" s="169"/>
      <c r="G126" s="169"/>
      <c r="H126" s="169"/>
      <c r="I126" s="169"/>
    </row>
    <row r="127" ht="15.75" customHeight="1">
      <c r="A127" s="168"/>
      <c r="B127" s="168"/>
      <c r="C127" s="168"/>
      <c r="D127" s="168"/>
      <c r="E127" s="169"/>
      <c r="F127" s="169"/>
      <c r="G127" s="169"/>
      <c r="H127" s="169"/>
      <c r="I127" s="169"/>
    </row>
    <row r="128" ht="15.75" customHeight="1">
      <c r="A128" s="168"/>
      <c r="B128" s="168"/>
      <c r="C128" s="168"/>
      <c r="D128" s="168"/>
      <c r="E128" s="169"/>
      <c r="F128" s="169"/>
      <c r="G128" s="169"/>
      <c r="H128" s="169"/>
      <c r="I128" s="169"/>
    </row>
    <row r="129" ht="15.75" customHeight="1">
      <c r="A129" s="168"/>
      <c r="B129" s="168"/>
      <c r="C129" s="168"/>
      <c r="D129" s="168"/>
      <c r="E129" s="169"/>
      <c r="F129" s="169"/>
      <c r="G129" s="169"/>
      <c r="H129" s="169"/>
      <c r="I129" s="169"/>
    </row>
    <row r="130" ht="15.75" customHeight="1">
      <c r="A130" s="168"/>
      <c r="B130" s="168"/>
      <c r="C130" s="168"/>
      <c r="D130" s="168"/>
      <c r="E130" s="169"/>
      <c r="F130" s="169"/>
      <c r="G130" s="169"/>
      <c r="H130" s="169"/>
      <c r="I130" s="169"/>
    </row>
    <row r="131" ht="15.75" customHeight="1">
      <c r="A131" s="168"/>
      <c r="B131" s="168"/>
      <c r="C131" s="168"/>
      <c r="D131" s="168"/>
      <c r="E131" s="169"/>
      <c r="F131" s="169"/>
      <c r="G131" s="169"/>
      <c r="H131" s="169"/>
      <c r="I131" s="169"/>
    </row>
    <row r="132" ht="15.75" customHeight="1">
      <c r="A132" s="168"/>
      <c r="B132" s="168"/>
      <c r="C132" s="168"/>
      <c r="D132" s="168"/>
      <c r="E132" s="169"/>
      <c r="F132" s="169"/>
      <c r="G132" s="169"/>
      <c r="H132" s="169"/>
      <c r="I132" s="169"/>
    </row>
    <row r="133" ht="15.75" customHeight="1">
      <c r="A133" s="168"/>
      <c r="B133" s="168"/>
      <c r="C133" s="168"/>
      <c r="D133" s="168"/>
      <c r="E133" s="169"/>
      <c r="F133" s="169"/>
      <c r="G133" s="169"/>
      <c r="H133" s="169"/>
      <c r="I133" s="169"/>
    </row>
    <row r="134" ht="15.75" customHeight="1">
      <c r="A134" s="168"/>
      <c r="B134" s="168"/>
      <c r="C134" s="168"/>
      <c r="D134" s="168"/>
      <c r="E134" s="169"/>
      <c r="F134" s="169"/>
      <c r="G134" s="169"/>
      <c r="H134" s="169"/>
      <c r="I134" s="169"/>
    </row>
    <row r="135" ht="15.75" customHeight="1">
      <c r="A135" s="168"/>
      <c r="B135" s="168"/>
      <c r="C135" s="168"/>
      <c r="D135" s="168"/>
      <c r="E135" s="169"/>
      <c r="F135" s="169"/>
      <c r="G135" s="169"/>
      <c r="H135" s="169"/>
      <c r="I135" s="169"/>
    </row>
    <row r="136" ht="15.75" customHeight="1">
      <c r="A136" s="168"/>
      <c r="B136" s="168"/>
      <c r="C136" s="168"/>
      <c r="D136" s="168"/>
      <c r="E136" s="169"/>
      <c r="F136" s="169"/>
      <c r="G136" s="169"/>
      <c r="H136" s="169"/>
      <c r="I136" s="169"/>
    </row>
    <row r="137" ht="15.75" customHeight="1">
      <c r="A137" s="168"/>
      <c r="B137" s="168"/>
      <c r="C137" s="168"/>
      <c r="D137" s="168"/>
      <c r="E137" s="169"/>
      <c r="F137" s="169"/>
      <c r="G137" s="169"/>
      <c r="H137" s="169"/>
      <c r="I137" s="169"/>
    </row>
    <row r="138" ht="15.75" customHeight="1">
      <c r="A138" s="168"/>
      <c r="B138" s="168"/>
      <c r="C138" s="168"/>
      <c r="D138" s="168"/>
      <c r="E138" s="169"/>
      <c r="F138" s="169"/>
      <c r="G138" s="169"/>
      <c r="H138" s="169"/>
      <c r="I138" s="169"/>
    </row>
    <row r="139" ht="15.75" customHeight="1">
      <c r="A139" s="168"/>
      <c r="B139" s="168"/>
      <c r="C139" s="168"/>
      <c r="D139" s="168"/>
      <c r="E139" s="169"/>
      <c r="F139" s="169"/>
      <c r="G139" s="169"/>
      <c r="H139" s="169"/>
      <c r="I139" s="169"/>
    </row>
    <row r="140" ht="15.75" customHeight="1">
      <c r="A140" s="168"/>
      <c r="B140" s="168"/>
      <c r="C140" s="168"/>
      <c r="D140" s="168"/>
      <c r="E140" s="169"/>
      <c r="F140" s="169"/>
      <c r="G140" s="169"/>
      <c r="H140" s="169"/>
      <c r="I140" s="169"/>
    </row>
    <row r="141" ht="15.75" customHeight="1">
      <c r="A141" s="168"/>
      <c r="B141" s="168"/>
      <c r="C141" s="168"/>
      <c r="D141" s="168"/>
      <c r="E141" s="169"/>
      <c r="F141" s="169"/>
      <c r="G141" s="169"/>
      <c r="H141" s="169"/>
      <c r="I141" s="169"/>
    </row>
    <row r="142" ht="15.75" customHeight="1">
      <c r="A142" s="168"/>
      <c r="B142" s="168"/>
      <c r="C142" s="168"/>
      <c r="D142" s="168"/>
      <c r="E142" s="169"/>
      <c r="F142" s="169"/>
      <c r="G142" s="169"/>
      <c r="H142" s="169"/>
      <c r="I142" s="169"/>
    </row>
    <row r="143" ht="15.75" customHeight="1">
      <c r="A143" s="168"/>
      <c r="B143" s="168"/>
      <c r="C143" s="168"/>
      <c r="D143" s="168"/>
      <c r="E143" s="169"/>
      <c r="F143" s="169"/>
      <c r="G143" s="169"/>
      <c r="H143" s="169"/>
      <c r="I143" s="169"/>
    </row>
    <row r="144" ht="15.75" customHeight="1">
      <c r="A144" s="168"/>
      <c r="B144" s="168"/>
      <c r="C144" s="168"/>
      <c r="D144" s="168"/>
      <c r="E144" s="169"/>
      <c r="F144" s="169"/>
      <c r="G144" s="169"/>
      <c r="H144" s="169"/>
      <c r="I144" s="169"/>
    </row>
    <row r="145" ht="15.75" customHeight="1">
      <c r="A145" s="168"/>
      <c r="B145" s="168"/>
      <c r="C145" s="168"/>
      <c r="D145" s="168"/>
      <c r="E145" s="169"/>
      <c r="F145" s="169"/>
      <c r="G145" s="169"/>
      <c r="H145" s="169"/>
      <c r="I145" s="169"/>
    </row>
    <row r="146" ht="15.75" customHeight="1">
      <c r="A146" s="168"/>
      <c r="B146" s="168"/>
      <c r="C146" s="168"/>
      <c r="D146" s="168"/>
      <c r="E146" s="169"/>
      <c r="F146" s="169"/>
      <c r="G146" s="169"/>
      <c r="H146" s="169"/>
      <c r="I146" s="169"/>
    </row>
    <row r="147" ht="15.75" customHeight="1">
      <c r="A147" s="168"/>
      <c r="B147" s="168"/>
      <c r="C147" s="168"/>
      <c r="D147" s="168"/>
      <c r="E147" s="169"/>
      <c r="F147" s="169"/>
      <c r="G147" s="169"/>
      <c r="H147" s="169"/>
      <c r="I147" s="169"/>
    </row>
    <row r="148" ht="15.75" customHeight="1">
      <c r="A148" s="168"/>
      <c r="B148" s="168"/>
      <c r="C148" s="168"/>
      <c r="D148" s="168"/>
      <c r="E148" s="169"/>
      <c r="F148" s="169"/>
      <c r="G148" s="169"/>
      <c r="H148" s="169"/>
      <c r="I148" s="169"/>
    </row>
    <row r="149" ht="15.75" customHeight="1">
      <c r="A149" s="168"/>
      <c r="B149" s="168"/>
      <c r="C149" s="168"/>
      <c r="D149" s="168"/>
      <c r="E149" s="169"/>
      <c r="F149" s="169"/>
      <c r="G149" s="169"/>
      <c r="H149" s="169"/>
      <c r="I149" s="169"/>
    </row>
    <row r="150" ht="15.75" customHeight="1">
      <c r="A150" s="168"/>
      <c r="B150" s="168"/>
      <c r="C150" s="168"/>
      <c r="D150" s="168"/>
      <c r="E150" s="169"/>
      <c r="F150" s="169"/>
      <c r="G150" s="169"/>
      <c r="H150" s="169"/>
      <c r="I150" s="169"/>
    </row>
    <row r="151" ht="15.75" customHeight="1">
      <c r="A151" s="168"/>
      <c r="B151" s="168"/>
      <c r="C151" s="168"/>
      <c r="D151" s="168"/>
      <c r="E151" s="169"/>
      <c r="F151" s="169"/>
      <c r="G151" s="169"/>
      <c r="H151" s="169"/>
      <c r="I151" s="169"/>
      <c r="J151" s="71"/>
      <c r="K151" s="71"/>
    </row>
    <row r="152" ht="15.75" customHeight="1">
      <c r="A152" s="168"/>
      <c r="B152" s="168"/>
      <c r="C152" s="168"/>
      <c r="D152" s="168"/>
      <c r="E152" s="169"/>
      <c r="F152" s="169"/>
      <c r="G152" s="169"/>
      <c r="H152" s="169"/>
      <c r="I152" s="169"/>
      <c r="J152" s="186"/>
      <c r="K152" s="71"/>
    </row>
    <row r="153" ht="15.75" customHeight="1">
      <c r="A153" s="168"/>
      <c r="B153" s="168"/>
      <c r="C153" s="168"/>
      <c r="D153" s="168"/>
      <c r="E153" s="169"/>
      <c r="F153" s="169"/>
      <c r="G153" s="169"/>
      <c r="H153" s="169"/>
      <c r="I153" s="169"/>
      <c r="J153" s="186"/>
      <c r="K153" s="71"/>
    </row>
    <row r="154" ht="15.75" customHeight="1">
      <c r="A154" s="168"/>
      <c r="B154" s="168"/>
      <c r="C154" s="168"/>
      <c r="D154" s="168"/>
      <c r="E154" s="169"/>
      <c r="F154" s="169"/>
      <c r="G154" s="169"/>
      <c r="H154" s="169"/>
      <c r="I154" s="169"/>
      <c r="J154" s="186"/>
      <c r="K154" s="71"/>
    </row>
    <row r="155" ht="15.75" customHeight="1">
      <c r="A155" s="168"/>
      <c r="B155" s="168"/>
      <c r="C155" s="168"/>
      <c r="D155" s="168"/>
      <c r="E155" s="169"/>
      <c r="F155" s="169"/>
      <c r="G155" s="169"/>
      <c r="H155" s="169"/>
      <c r="I155" s="169"/>
      <c r="J155" s="186"/>
      <c r="K155" s="71"/>
    </row>
    <row r="156" ht="15.75" customHeight="1">
      <c r="A156" s="168"/>
      <c r="B156" s="168"/>
      <c r="C156" s="168"/>
      <c r="D156" s="168"/>
      <c r="E156" s="169"/>
      <c r="F156" s="169"/>
      <c r="G156" s="169"/>
      <c r="H156" s="169"/>
      <c r="I156" s="169"/>
      <c r="J156" s="186"/>
      <c r="K156" s="71"/>
    </row>
    <row r="157" ht="15.75" customHeight="1">
      <c r="A157" s="168"/>
      <c r="B157" s="168"/>
      <c r="C157" s="168"/>
      <c r="D157" s="168"/>
      <c r="E157" s="169"/>
      <c r="F157" s="169"/>
      <c r="G157" s="169"/>
      <c r="H157" s="169"/>
      <c r="I157" s="169"/>
      <c r="J157" s="186"/>
      <c r="K157" s="71"/>
    </row>
    <row r="158" ht="15.75" customHeight="1">
      <c r="A158" s="168"/>
      <c r="B158" s="168"/>
      <c r="C158" s="168"/>
      <c r="D158" s="168"/>
      <c r="E158" s="169"/>
      <c r="F158" s="169"/>
      <c r="G158" s="169"/>
      <c r="H158" s="169"/>
      <c r="I158" s="169"/>
      <c r="J158" s="186"/>
      <c r="K158" s="71"/>
    </row>
    <row r="159" ht="15.75" customHeight="1">
      <c r="A159" s="168"/>
      <c r="B159" s="168"/>
      <c r="C159" s="168"/>
      <c r="D159" s="168"/>
      <c r="E159" s="169"/>
      <c r="F159" s="169"/>
      <c r="G159" s="169"/>
      <c r="H159" s="169"/>
      <c r="I159" s="169"/>
      <c r="J159" s="186"/>
      <c r="K159" s="71"/>
    </row>
    <row r="160" ht="15.75" customHeight="1">
      <c r="A160" s="168"/>
      <c r="B160" s="168"/>
      <c r="C160" s="168"/>
      <c r="D160" s="168"/>
      <c r="E160" s="169"/>
      <c r="F160" s="169"/>
      <c r="G160" s="169"/>
      <c r="H160" s="169"/>
      <c r="I160" s="169"/>
      <c r="J160" s="186"/>
      <c r="K160" s="71"/>
    </row>
    <row r="161" ht="15.75" customHeight="1">
      <c r="A161" s="168"/>
      <c r="B161" s="168"/>
      <c r="C161" s="168"/>
      <c r="D161" s="168"/>
      <c r="E161" s="169"/>
      <c r="F161" s="169"/>
      <c r="G161" s="169"/>
      <c r="H161" s="169"/>
      <c r="I161" s="169"/>
      <c r="J161" s="186"/>
      <c r="K161" s="71"/>
    </row>
    <row r="162" ht="15.75" customHeight="1">
      <c r="A162" s="168"/>
      <c r="B162" s="168"/>
      <c r="C162" s="168"/>
      <c r="D162" s="168"/>
      <c r="E162" s="169"/>
      <c r="F162" s="169"/>
      <c r="G162" s="169"/>
      <c r="H162" s="169"/>
      <c r="I162" s="169"/>
      <c r="J162" s="186"/>
      <c r="K162" s="71"/>
    </row>
    <row r="163" ht="15.75" customHeight="1">
      <c r="A163" s="168"/>
      <c r="B163" s="168"/>
      <c r="C163" s="168"/>
      <c r="D163" s="168"/>
      <c r="E163" s="169"/>
      <c r="F163" s="169"/>
      <c r="G163" s="169"/>
      <c r="H163" s="169"/>
      <c r="I163" s="169"/>
      <c r="J163" s="186"/>
      <c r="K163" s="71"/>
    </row>
    <row r="164" ht="15.75" customHeight="1">
      <c r="A164" s="168"/>
      <c r="B164" s="168"/>
      <c r="C164" s="168"/>
      <c r="D164" s="168"/>
      <c r="E164" s="169"/>
      <c r="F164" s="169"/>
      <c r="G164" s="169"/>
      <c r="H164" s="169"/>
      <c r="I164" s="169"/>
      <c r="J164" s="186"/>
      <c r="K164" s="71"/>
    </row>
    <row r="165" ht="15.75" customHeight="1">
      <c r="A165" s="168"/>
      <c r="B165" s="168"/>
      <c r="C165" s="168"/>
      <c r="D165" s="168"/>
      <c r="E165" s="169"/>
      <c r="F165" s="169"/>
      <c r="G165" s="169"/>
      <c r="H165" s="169"/>
      <c r="I165" s="169"/>
      <c r="J165" s="186"/>
      <c r="K165" s="71"/>
    </row>
    <row r="166" ht="15.75" customHeight="1">
      <c r="A166" s="168"/>
      <c r="B166" s="168"/>
      <c r="C166" s="168"/>
      <c r="D166" s="168"/>
      <c r="E166" s="169"/>
      <c r="F166" s="169"/>
      <c r="G166" s="169"/>
      <c r="H166" s="169"/>
      <c r="I166" s="169"/>
      <c r="J166" s="186"/>
      <c r="K166" s="71"/>
    </row>
    <row r="167" ht="15.75" customHeight="1">
      <c r="A167" s="168"/>
      <c r="B167" s="168"/>
      <c r="C167" s="168"/>
      <c r="D167" s="168"/>
      <c r="E167" s="169"/>
      <c r="F167" s="169"/>
      <c r="G167" s="169"/>
      <c r="H167" s="169"/>
      <c r="I167" s="169"/>
      <c r="J167" s="186"/>
      <c r="K167" s="71"/>
    </row>
    <row r="168" ht="15.75" customHeight="1">
      <c r="A168" s="168"/>
      <c r="B168" s="168"/>
      <c r="C168" s="168"/>
      <c r="D168" s="168"/>
      <c r="E168" s="169"/>
      <c r="F168" s="169"/>
      <c r="G168" s="169"/>
      <c r="H168" s="169"/>
      <c r="I168" s="169"/>
      <c r="J168" s="186"/>
      <c r="K168" s="71"/>
    </row>
    <row r="169" ht="15.75" customHeight="1">
      <c r="A169" s="168"/>
      <c r="B169" s="168"/>
      <c r="C169" s="168"/>
      <c r="D169" s="168"/>
      <c r="E169" s="169"/>
      <c r="F169" s="169"/>
      <c r="G169" s="169"/>
      <c r="H169" s="169"/>
      <c r="I169" s="169"/>
      <c r="J169" s="186"/>
      <c r="K169" s="71"/>
    </row>
    <row r="170" ht="15.75" customHeight="1">
      <c r="A170" s="168"/>
      <c r="B170" s="168"/>
      <c r="C170" s="168"/>
      <c r="D170" s="168"/>
      <c r="E170" s="169"/>
      <c r="F170" s="169"/>
      <c r="G170" s="169"/>
      <c r="H170" s="169"/>
      <c r="I170" s="169"/>
      <c r="J170" s="186"/>
      <c r="K170" s="71"/>
    </row>
    <row r="171" ht="15.75" customHeight="1">
      <c r="A171" s="168"/>
      <c r="B171" s="168"/>
      <c r="C171" s="168"/>
      <c r="D171" s="168"/>
      <c r="E171" s="169"/>
      <c r="F171" s="169"/>
      <c r="G171" s="169"/>
      <c r="H171" s="169"/>
      <c r="I171" s="169"/>
      <c r="J171" s="186"/>
      <c r="K171" s="71"/>
    </row>
    <row r="172" ht="15.75" customHeight="1">
      <c r="A172" s="168"/>
      <c r="B172" s="168"/>
      <c r="C172" s="168"/>
      <c r="D172" s="168"/>
      <c r="E172" s="169"/>
      <c r="F172" s="169"/>
      <c r="G172" s="169"/>
      <c r="H172" s="169"/>
      <c r="I172" s="169"/>
      <c r="J172" s="186"/>
      <c r="K172" s="71"/>
    </row>
    <row r="173" ht="15.75" customHeight="1">
      <c r="A173" s="168"/>
      <c r="B173" s="168"/>
      <c r="C173" s="168"/>
      <c r="D173" s="168"/>
      <c r="E173" s="169"/>
      <c r="F173" s="169"/>
      <c r="G173" s="169"/>
      <c r="H173" s="169"/>
      <c r="I173" s="169"/>
      <c r="J173" s="186"/>
      <c r="K173" s="71"/>
    </row>
    <row r="174" ht="15.75" customHeight="1">
      <c r="A174" s="168"/>
      <c r="B174" s="168"/>
      <c r="C174" s="168"/>
      <c r="D174" s="168"/>
      <c r="E174" s="169"/>
      <c r="F174" s="169"/>
      <c r="G174" s="169"/>
      <c r="H174" s="169"/>
      <c r="I174" s="169"/>
      <c r="J174" s="186"/>
      <c r="K174" s="71"/>
    </row>
    <row r="175" ht="15.75" customHeight="1">
      <c r="A175" s="168"/>
      <c r="B175" s="168"/>
      <c r="C175" s="168"/>
      <c r="D175" s="168"/>
      <c r="E175" s="169"/>
      <c r="F175" s="169"/>
      <c r="G175" s="169"/>
      <c r="H175" s="169"/>
      <c r="I175" s="169"/>
      <c r="J175" s="186"/>
      <c r="K175" s="71"/>
    </row>
    <row r="176" ht="15.75" customHeight="1">
      <c r="A176" s="168"/>
      <c r="B176" s="168"/>
      <c r="C176" s="168"/>
      <c r="D176" s="168"/>
      <c r="E176" s="169"/>
      <c r="F176" s="169"/>
      <c r="G176" s="169"/>
      <c r="H176" s="169"/>
      <c r="I176" s="169"/>
      <c r="J176" s="186"/>
      <c r="K176" s="71"/>
    </row>
    <row r="177" ht="15.75" customHeight="1">
      <c r="A177" s="168"/>
      <c r="B177" s="168"/>
      <c r="C177" s="168"/>
      <c r="D177" s="168"/>
      <c r="E177" s="169"/>
      <c r="F177" s="169"/>
      <c r="G177" s="169"/>
      <c r="H177" s="169"/>
      <c r="I177" s="169"/>
      <c r="J177" s="186"/>
      <c r="K177" s="71"/>
    </row>
    <row r="178" ht="15.75" customHeight="1">
      <c r="A178" s="168"/>
      <c r="B178" s="168"/>
      <c r="C178" s="168"/>
      <c r="D178" s="168"/>
      <c r="E178" s="169"/>
      <c r="F178" s="169"/>
      <c r="G178" s="169"/>
      <c r="H178" s="169"/>
      <c r="I178" s="169"/>
      <c r="J178" s="186"/>
      <c r="K178" s="71"/>
    </row>
    <row r="179" ht="15.75" customHeight="1">
      <c r="A179" s="168"/>
      <c r="B179" s="168"/>
      <c r="C179" s="168"/>
      <c r="D179" s="168"/>
      <c r="E179" s="169"/>
      <c r="F179" s="169"/>
      <c r="G179" s="169"/>
      <c r="H179" s="169"/>
      <c r="I179" s="169"/>
      <c r="J179" s="186"/>
      <c r="K179" s="71"/>
    </row>
    <row r="180" ht="15.75" customHeight="1">
      <c r="A180" s="168"/>
      <c r="B180" s="168"/>
      <c r="C180" s="168"/>
      <c r="D180" s="168"/>
      <c r="E180" s="169"/>
      <c r="F180" s="169"/>
      <c r="G180" s="169"/>
      <c r="H180" s="169"/>
      <c r="I180" s="169"/>
      <c r="J180" s="186"/>
      <c r="K180" s="71"/>
    </row>
    <row r="181" ht="15.75" customHeight="1">
      <c r="A181" s="168"/>
      <c r="B181" s="168"/>
      <c r="C181" s="168"/>
      <c r="D181" s="168"/>
      <c r="E181" s="169"/>
      <c r="F181" s="169"/>
      <c r="G181" s="169"/>
      <c r="H181" s="169"/>
      <c r="I181" s="169"/>
      <c r="J181" s="186"/>
      <c r="K181" s="71"/>
    </row>
    <row r="182" ht="15.75" customHeight="1">
      <c r="A182" s="168"/>
      <c r="B182" s="168"/>
      <c r="C182" s="168"/>
      <c r="D182" s="168"/>
      <c r="E182" s="169"/>
      <c r="F182" s="169"/>
      <c r="G182" s="169"/>
      <c r="H182" s="169"/>
      <c r="I182" s="169"/>
      <c r="J182" s="186"/>
      <c r="K182" s="71"/>
    </row>
    <row r="183" ht="15.75" customHeight="1">
      <c r="A183" s="168"/>
      <c r="B183" s="168"/>
      <c r="C183" s="168"/>
      <c r="D183" s="168"/>
      <c r="E183" s="169"/>
      <c r="F183" s="169"/>
      <c r="G183" s="169"/>
      <c r="H183" s="169"/>
      <c r="I183" s="169"/>
      <c r="J183" s="186"/>
      <c r="K183" s="71"/>
    </row>
    <row r="184" ht="15.75" customHeight="1">
      <c r="A184" s="168"/>
      <c r="B184" s="168"/>
      <c r="C184" s="168"/>
      <c r="D184" s="168"/>
      <c r="E184" s="169"/>
      <c r="F184" s="169"/>
      <c r="G184" s="169"/>
      <c r="H184" s="169"/>
      <c r="I184" s="169"/>
      <c r="J184" s="186"/>
      <c r="K184" s="71"/>
    </row>
    <row r="185" ht="15.75" customHeight="1">
      <c r="A185" s="168"/>
      <c r="B185" s="168"/>
      <c r="C185" s="168"/>
      <c r="D185" s="168"/>
      <c r="E185" s="169"/>
      <c r="F185" s="169"/>
      <c r="G185" s="169"/>
      <c r="H185" s="169"/>
      <c r="I185" s="169"/>
      <c r="J185" s="186"/>
      <c r="K185" s="71"/>
    </row>
    <row r="186" ht="15.75" customHeight="1">
      <c r="A186" s="168"/>
      <c r="B186" s="168"/>
      <c r="C186" s="168"/>
      <c r="D186" s="168"/>
      <c r="E186" s="169"/>
      <c r="F186" s="169"/>
      <c r="G186" s="169"/>
      <c r="H186" s="169"/>
      <c r="I186" s="169"/>
      <c r="J186" s="186"/>
      <c r="K186" s="71"/>
    </row>
    <row r="187" ht="15.75" customHeight="1">
      <c r="A187" s="168"/>
      <c r="B187" s="168"/>
      <c r="C187" s="168"/>
      <c r="D187" s="168"/>
      <c r="E187" s="169"/>
      <c r="F187" s="169"/>
      <c r="G187" s="169"/>
      <c r="H187" s="169"/>
      <c r="I187" s="169"/>
      <c r="J187" s="186"/>
      <c r="K187" s="71"/>
    </row>
    <row r="188" ht="15.75" customHeight="1">
      <c r="A188" s="168"/>
      <c r="B188" s="168"/>
      <c r="C188" s="168"/>
      <c r="D188" s="168"/>
      <c r="E188" s="169"/>
      <c r="F188" s="169"/>
      <c r="G188" s="169"/>
      <c r="H188" s="169"/>
      <c r="I188" s="169"/>
      <c r="J188" s="186"/>
      <c r="K188" s="71"/>
    </row>
    <row r="189" ht="15.75" customHeight="1">
      <c r="A189" s="168"/>
      <c r="B189" s="168"/>
      <c r="C189" s="168"/>
      <c r="D189" s="168"/>
      <c r="E189" s="169"/>
      <c r="F189" s="169"/>
      <c r="G189" s="169"/>
      <c r="H189" s="169"/>
      <c r="I189" s="169"/>
      <c r="J189" s="186"/>
      <c r="K189" s="71"/>
    </row>
    <row r="190" ht="15.75" customHeight="1">
      <c r="A190" s="168"/>
      <c r="B190" s="168"/>
      <c r="C190" s="168"/>
      <c r="D190" s="168"/>
      <c r="E190" s="169"/>
      <c r="F190" s="169"/>
      <c r="G190" s="169"/>
      <c r="H190" s="169"/>
      <c r="I190" s="169"/>
      <c r="J190" s="186"/>
      <c r="K190" s="71"/>
    </row>
    <row r="191" ht="15.75" customHeight="1">
      <c r="A191" s="168"/>
      <c r="B191" s="168"/>
      <c r="C191" s="168"/>
      <c r="D191" s="168"/>
      <c r="E191" s="169"/>
      <c r="F191" s="169"/>
      <c r="G191" s="169"/>
      <c r="H191" s="169"/>
      <c r="I191" s="169"/>
      <c r="J191" s="186"/>
      <c r="K191" s="71"/>
    </row>
    <row r="192" ht="15.75" customHeight="1">
      <c r="A192" s="168"/>
      <c r="B192" s="168"/>
      <c r="C192" s="168"/>
      <c r="D192" s="168"/>
      <c r="E192" s="169"/>
      <c r="F192" s="169"/>
      <c r="G192" s="169"/>
      <c r="H192" s="169"/>
      <c r="I192" s="169"/>
      <c r="J192" s="186"/>
      <c r="K192" s="71"/>
    </row>
    <row r="193" ht="15.75" customHeight="1">
      <c r="A193" s="168"/>
      <c r="B193" s="168"/>
      <c r="C193" s="168"/>
      <c r="D193" s="168"/>
      <c r="E193" s="169"/>
      <c r="F193" s="169"/>
      <c r="G193" s="169"/>
      <c r="H193" s="169"/>
      <c r="I193" s="169"/>
      <c r="J193" s="186"/>
      <c r="K193" s="71"/>
    </row>
    <row r="194" ht="15.75" customHeight="1">
      <c r="A194" s="168"/>
      <c r="B194" s="168"/>
      <c r="C194" s="168"/>
      <c r="D194" s="168"/>
      <c r="E194" s="169"/>
      <c r="F194" s="169"/>
      <c r="G194" s="169"/>
      <c r="H194" s="169"/>
      <c r="I194" s="169"/>
      <c r="J194" s="186"/>
      <c r="K194" s="71"/>
    </row>
    <row r="195" ht="15.75" customHeight="1">
      <c r="A195" s="168"/>
      <c r="B195" s="168"/>
      <c r="C195" s="168"/>
      <c r="D195" s="168"/>
      <c r="E195" s="169"/>
      <c r="F195" s="169"/>
      <c r="G195" s="169"/>
      <c r="H195" s="169"/>
      <c r="I195" s="169"/>
      <c r="J195" s="186"/>
      <c r="K195" s="71"/>
    </row>
    <row r="196" ht="15.75" customHeight="1">
      <c r="A196" s="168"/>
      <c r="B196" s="168"/>
      <c r="C196" s="168"/>
      <c r="D196" s="168"/>
      <c r="E196" s="169"/>
      <c r="F196" s="169"/>
      <c r="G196" s="169"/>
      <c r="H196" s="169"/>
      <c r="I196" s="169"/>
      <c r="J196" s="186"/>
      <c r="K196" s="71"/>
    </row>
    <row r="197" ht="15.75" customHeight="1">
      <c r="A197" s="168"/>
      <c r="B197" s="168"/>
      <c r="C197" s="168"/>
      <c r="D197" s="168"/>
      <c r="E197" s="169"/>
      <c r="F197" s="169"/>
      <c r="G197" s="169"/>
      <c r="H197" s="169"/>
      <c r="I197" s="169"/>
      <c r="J197" s="186"/>
      <c r="K197" s="71"/>
    </row>
    <row r="198" ht="15.75" customHeight="1">
      <c r="A198" s="168"/>
      <c r="B198" s="168"/>
      <c r="C198" s="168"/>
      <c r="D198" s="168"/>
      <c r="E198" s="169"/>
      <c r="F198" s="169"/>
      <c r="G198" s="169"/>
      <c r="H198" s="169"/>
      <c r="I198" s="169"/>
      <c r="J198" s="186"/>
      <c r="K198" s="71"/>
    </row>
    <row r="199" ht="15.75" customHeight="1">
      <c r="A199" s="168"/>
      <c r="B199" s="168"/>
      <c r="C199" s="168"/>
      <c r="D199" s="168"/>
      <c r="E199" s="169"/>
      <c r="F199" s="169"/>
      <c r="G199" s="169"/>
      <c r="H199" s="169"/>
      <c r="I199" s="169"/>
      <c r="J199" s="186"/>
      <c r="K199" s="71"/>
    </row>
    <row r="200" ht="15.75" customHeight="1">
      <c r="A200" s="168"/>
      <c r="B200" s="168"/>
      <c r="C200" s="168"/>
      <c r="D200" s="168"/>
      <c r="E200" s="169"/>
      <c r="F200" s="169"/>
      <c r="G200" s="169"/>
      <c r="H200" s="169"/>
      <c r="I200" s="169"/>
      <c r="J200" s="186"/>
      <c r="K200" s="71"/>
    </row>
    <row r="201" ht="15.75" customHeight="1">
      <c r="A201" s="168"/>
      <c r="B201" s="168"/>
      <c r="C201" s="168"/>
      <c r="D201" s="168"/>
      <c r="E201" s="169"/>
      <c r="F201" s="169"/>
      <c r="G201" s="169"/>
      <c r="H201" s="169"/>
      <c r="I201" s="169"/>
      <c r="J201" s="186"/>
      <c r="K201" s="71"/>
    </row>
    <row r="202" ht="15.75" customHeight="1">
      <c r="A202" s="168"/>
      <c r="B202" s="168"/>
      <c r="C202" s="168"/>
      <c r="D202" s="168"/>
      <c r="E202" s="169"/>
      <c r="F202" s="169"/>
      <c r="G202" s="169"/>
      <c r="H202" s="169"/>
      <c r="I202" s="169"/>
      <c r="J202" s="186"/>
      <c r="K202" s="71"/>
    </row>
    <row r="203" ht="15.75" customHeight="1">
      <c r="A203" s="168"/>
      <c r="B203" s="168"/>
      <c r="C203" s="168"/>
      <c r="D203" s="168"/>
      <c r="E203" s="169"/>
      <c r="F203" s="169"/>
      <c r="G203" s="169"/>
      <c r="H203" s="169"/>
      <c r="I203" s="169"/>
      <c r="J203" s="186"/>
      <c r="K203" s="71"/>
    </row>
    <row r="204" ht="15.75" customHeight="1">
      <c r="A204" s="168"/>
      <c r="B204" s="168"/>
      <c r="C204" s="168"/>
      <c r="D204" s="168"/>
      <c r="E204" s="169"/>
      <c r="F204" s="169"/>
      <c r="G204" s="169"/>
      <c r="H204" s="169"/>
      <c r="I204" s="169"/>
      <c r="J204" s="186"/>
      <c r="K204" s="71"/>
    </row>
    <row r="205" ht="15.75" customHeight="1">
      <c r="A205" s="168"/>
      <c r="B205" s="168"/>
      <c r="C205" s="168"/>
      <c r="D205" s="168"/>
      <c r="E205" s="169"/>
      <c r="F205" s="169"/>
      <c r="G205" s="169"/>
      <c r="H205" s="169"/>
      <c r="I205" s="169"/>
      <c r="J205" s="186"/>
      <c r="K205" s="71"/>
    </row>
    <row r="206" ht="15.75" customHeight="1">
      <c r="A206" s="168"/>
      <c r="B206" s="168"/>
      <c r="C206" s="168"/>
      <c r="D206" s="168"/>
      <c r="E206" s="169"/>
      <c r="F206" s="169"/>
      <c r="G206" s="169"/>
      <c r="H206" s="169"/>
      <c r="I206" s="169"/>
      <c r="J206" s="186"/>
      <c r="K206" s="71"/>
    </row>
    <row r="207" ht="15.75" customHeight="1">
      <c r="A207" s="168"/>
      <c r="B207" s="168"/>
      <c r="C207" s="168"/>
      <c r="D207" s="168"/>
      <c r="E207" s="169"/>
      <c r="F207" s="169"/>
      <c r="G207" s="169"/>
      <c r="H207" s="169"/>
      <c r="I207" s="169"/>
      <c r="J207" s="186"/>
      <c r="K207" s="71"/>
    </row>
    <row r="208" ht="15.75" customHeight="1">
      <c r="A208" s="168"/>
      <c r="B208" s="168"/>
      <c r="C208" s="168"/>
      <c r="D208" s="168"/>
      <c r="E208" s="169"/>
      <c r="F208" s="169"/>
      <c r="G208" s="169"/>
      <c r="H208" s="169"/>
      <c r="I208" s="169"/>
      <c r="J208" s="186"/>
      <c r="K208" s="71"/>
    </row>
    <row r="209" ht="15.75" customHeight="1">
      <c r="A209" s="168"/>
      <c r="B209" s="168"/>
      <c r="C209" s="168"/>
      <c r="D209" s="168"/>
      <c r="E209" s="169"/>
      <c r="F209" s="169"/>
      <c r="G209" s="169"/>
      <c r="H209" s="169"/>
      <c r="I209" s="169"/>
      <c r="J209" s="186"/>
      <c r="K209" s="71"/>
    </row>
    <row r="210" ht="15.75" customHeight="1">
      <c r="A210" s="168"/>
      <c r="B210" s="168"/>
      <c r="C210" s="168"/>
      <c r="D210" s="168"/>
      <c r="E210" s="169"/>
      <c r="F210" s="169"/>
      <c r="G210" s="169"/>
      <c r="H210" s="169"/>
      <c r="I210" s="169"/>
      <c r="J210" s="186"/>
      <c r="K210" s="71"/>
    </row>
    <row r="211" ht="15.75" customHeight="1">
      <c r="A211" s="168"/>
      <c r="B211" s="168"/>
      <c r="C211" s="168"/>
      <c r="D211" s="168"/>
      <c r="E211" s="169"/>
      <c r="F211" s="169"/>
      <c r="G211" s="169"/>
      <c r="H211" s="169"/>
      <c r="I211" s="169"/>
      <c r="J211" s="186"/>
      <c r="K211" s="71"/>
    </row>
    <row r="212" ht="15.75" customHeight="1">
      <c r="A212" s="168"/>
      <c r="B212" s="168"/>
      <c r="C212" s="168"/>
      <c r="D212" s="168"/>
      <c r="E212" s="169"/>
      <c r="F212" s="169"/>
      <c r="G212" s="169"/>
      <c r="H212" s="169"/>
      <c r="I212" s="169"/>
      <c r="J212" s="186"/>
      <c r="K212" s="71"/>
    </row>
    <row r="213" ht="15.75" customHeight="1">
      <c r="A213" s="168"/>
      <c r="B213" s="168"/>
      <c r="C213" s="168"/>
      <c r="D213" s="168"/>
      <c r="E213" s="169"/>
      <c r="F213" s="169"/>
      <c r="G213" s="169"/>
      <c r="H213" s="169"/>
      <c r="I213" s="169"/>
      <c r="J213" s="186"/>
      <c r="K213" s="71"/>
    </row>
    <row r="214" ht="15.75" customHeight="1">
      <c r="A214" s="168"/>
      <c r="B214" s="168"/>
      <c r="C214" s="168"/>
      <c r="D214" s="168"/>
      <c r="E214" s="169"/>
      <c r="F214" s="169"/>
      <c r="G214" s="169"/>
      <c r="H214" s="169"/>
      <c r="I214" s="169"/>
      <c r="J214" s="186"/>
      <c r="K214" s="71"/>
    </row>
    <row r="215" ht="15.75" customHeight="1">
      <c r="A215" s="168"/>
      <c r="B215" s="168"/>
      <c r="C215" s="168"/>
      <c r="D215" s="168"/>
      <c r="E215" s="169"/>
      <c r="F215" s="169"/>
      <c r="G215" s="169"/>
      <c r="H215" s="169"/>
      <c r="I215" s="169"/>
      <c r="J215" s="186"/>
      <c r="K215" s="71"/>
    </row>
    <row r="216" ht="15.75" customHeight="1">
      <c r="A216" s="168"/>
      <c r="B216" s="168"/>
      <c r="C216" s="168"/>
      <c r="D216" s="168"/>
      <c r="E216" s="169"/>
      <c r="F216" s="169"/>
      <c r="G216" s="169"/>
      <c r="H216" s="169"/>
      <c r="I216" s="169"/>
      <c r="J216" s="186"/>
      <c r="K216" s="71"/>
    </row>
    <row r="217" ht="15.75" customHeight="1">
      <c r="A217" s="168"/>
      <c r="B217" s="168"/>
      <c r="C217" s="168"/>
      <c r="D217" s="168"/>
      <c r="E217" s="169"/>
      <c r="F217" s="169"/>
      <c r="G217" s="169"/>
      <c r="H217" s="169"/>
      <c r="I217" s="169"/>
      <c r="J217" s="98"/>
      <c r="K217" s="98"/>
    </row>
    <row r="218" ht="15.75" customHeight="1">
      <c r="A218" s="168"/>
      <c r="B218" s="168"/>
      <c r="C218" s="168"/>
      <c r="D218" s="168"/>
      <c r="E218" s="169"/>
      <c r="F218" s="169"/>
      <c r="G218" s="169"/>
      <c r="H218" s="169"/>
      <c r="I218" s="169"/>
      <c r="J218" s="98"/>
      <c r="K218" s="98"/>
    </row>
    <row r="219" ht="15.75" customHeight="1">
      <c r="A219" s="168"/>
      <c r="B219" s="168"/>
      <c r="C219" s="168"/>
      <c r="D219" s="168"/>
      <c r="E219" s="169"/>
      <c r="F219" s="169"/>
      <c r="G219" s="169"/>
      <c r="H219" s="169"/>
      <c r="I219" s="169"/>
      <c r="J219" s="98"/>
      <c r="K219" s="98"/>
    </row>
    <row r="220" ht="15.75" customHeight="1">
      <c r="A220" s="168"/>
      <c r="B220" s="168"/>
      <c r="C220" s="168"/>
      <c r="D220" s="168"/>
      <c r="E220" s="169"/>
      <c r="F220" s="169"/>
      <c r="G220" s="169"/>
      <c r="H220" s="169"/>
      <c r="I220" s="169"/>
      <c r="J220" s="98"/>
      <c r="K220" s="98"/>
    </row>
    <row r="221" ht="15.75" customHeight="1">
      <c r="A221" s="168"/>
      <c r="B221" s="168"/>
      <c r="C221" s="168"/>
      <c r="D221" s="168"/>
      <c r="E221" s="169"/>
      <c r="F221" s="169"/>
      <c r="G221" s="169"/>
      <c r="H221" s="169"/>
      <c r="I221" s="169"/>
      <c r="J221" s="98"/>
      <c r="K221" s="98"/>
    </row>
    <row r="222" ht="15.75" customHeight="1">
      <c r="A222" s="168"/>
      <c r="B222" s="168"/>
      <c r="C222" s="168"/>
      <c r="D222" s="168"/>
      <c r="E222" s="169"/>
      <c r="F222" s="169"/>
      <c r="G222" s="169"/>
      <c r="H222" s="169"/>
      <c r="I222" s="169"/>
      <c r="J222" s="186"/>
      <c r="K222" s="238"/>
    </row>
    <row r="223" ht="15.75" customHeight="1">
      <c r="A223" s="168"/>
      <c r="B223" s="168"/>
      <c r="C223" s="168"/>
      <c r="D223" s="168"/>
      <c r="E223" s="169"/>
      <c r="F223" s="169"/>
      <c r="G223" s="169"/>
      <c r="H223" s="169"/>
      <c r="I223" s="169"/>
      <c r="J223" s="98"/>
      <c r="K223" s="186"/>
    </row>
    <row r="224" ht="15.75" customHeight="1">
      <c r="A224" s="168"/>
      <c r="B224" s="168"/>
      <c r="C224" s="168"/>
      <c r="D224" s="168"/>
      <c r="E224" s="169"/>
      <c r="F224" s="169"/>
      <c r="G224" s="169"/>
      <c r="H224" s="169"/>
      <c r="I224" s="169"/>
      <c r="J224" s="98"/>
      <c r="K224" s="186"/>
    </row>
    <row r="225" ht="15.75" customHeight="1">
      <c r="A225" s="168"/>
      <c r="B225" s="168"/>
      <c r="C225" s="168"/>
      <c r="D225" s="168"/>
      <c r="E225" s="169"/>
      <c r="F225" s="169"/>
      <c r="G225" s="169"/>
      <c r="H225" s="169"/>
      <c r="I225" s="169"/>
      <c r="J225" s="98"/>
      <c r="K225" s="186"/>
    </row>
    <row r="226" ht="15.75" customHeight="1">
      <c r="A226" s="168"/>
      <c r="B226" s="168"/>
      <c r="C226" s="168"/>
      <c r="D226" s="168"/>
      <c r="E226" s="169"/>
      <c r="F226" s="169"/>
      <c r="G226" s="169"/>
      <c r="H226" s="169"/>
      <c r="I226" s="169"/>
      <c r="J226" s="98"/>
      <c r="K226" s="186"/>
    </row>
    <row r="227" ht="15.75" customHeight="1">
      <c r="A227" s="168"/>
      <c r="B227" s="168"/>
      <c r="C227" s="168"/>
      <c r="D227" s="168"/>
      <c r="E227" s="169"/>
      <c r="F227" s="169"/>
      <c r="G227" s="169"/>
      <c r="H227" s="169"/>
      <c r="I227" s="169"/>
      <c r="J227" s="98"/>
      <c r="K227" s="186"/>
    </row>
    <row r="228" ht="15.75" customHeight="1">
      <c r="A228" s="168"/>
      <c r="B228" s="168"/>
      <c r="C228" s="168"/>
      <c r="D228" s="168"/>
      <c r="E228" s="169"/>
      <c r="F228" s="169"/>
      <c r="G228" s="169"/>
      <c r="H228" s="169"/>
      <c r="I228" s="169"/>
      <c r="J228" s="186"/>
      <c r="K228" s="186"/>
    </row>
    <row r="229" ht="15.75" customHeight="1">
      <c r="A229" s="168"/>
      <c r="B229" s="168"/>
      <c r="C229" s="168"/>
      <c r="D229" s="168"/>
      <c r="E229" s="169"/>
      <c r="F229" s="169"/>
      <c r="G229" s="169"/>
      <c r="H229" s="169"/>
      <c r="I229" s="169"/>
      <c r="J229" s="71"/>
      <c r="K229" s="71"/>
    </row>
    <row r="230" ht="15.75" customHeight="1">
      <c r="A230" s="168"/>
      <c r="B230" s="168"/>
      <c r="C230" s="168"/>
      <c r="D230" s="168"/>
      <c r="E230" s="169"/>
      <c r="F230" s="169"/>
      <c r="G230" s="169"/>
      <c r="H230" s="169"/>
      <c r="I230" s="169"/>
      <c r="J230" s="71"/>
      <c r="K230" s="71"/>
    </row>
    <row r="231" ht="15.75" customHeight="1">
      <c r="A231" s="168"/>
      <c r="B231" s="168"/>
      <c r="C231" s="168"/>
      <c r="D231" s="168"/>
      <c r="E231" s="169"/>
      <c r="F231" s="169"/>
      <c r="G231" s="169"/>
      <c r="H231" s="169"/>
      <c r="I231" s="169"/>
      <c r="J231" s="71"/>
      <c r="K231" s="71"/>
    </row>
    <row r="232" ht="15.75" customHeight="1">
      <c r="A232" s="168"/>
      <c r="B232" s="168"/>
      <c r="C232" s="168"/>
      <c r="D232" s="168"/>
      <c r="E232" s="169"/>
      <c r="F232" s="169"/>
      <c r="G232" s="169"/>
      <c r="H232" s="169"/>
      <c r="I232" s="169"/>
      <c r="J232" s="71"/>
      <c r="K232" s="71"/>
    </row>
    <row r="233" ht="15.75" customHeight="1">
      <c r="A233" s="168"/>
      <c r="B233" s="168"/>
      <c r="C233" s="168"/>
      <c r="D233" s="168"/>
      <c r="E233" s="169"/>
      <c r="F233" s="169"/>
      <c r="G233" s="169"/>
      <c r="H233" s="169"/>
      <c r="I233" s="169"/>
      <c r="J233" s="71"/>
      <c r="K233" s="71"/>
    </row>
    <row r="234" ht="15.75" customHeight="1">
      <c r="A234" s="168"/>
      <c r="B234" s="168"/>
      <c r="C234" s="168"/>
      <c r="D234" s="168"/>
      <c r="E234" s="169"/>
      <c r="F234" s="169"/>
      <c r="G234" s="169"/>
      <c r="H234" s="169"/>
      <c r="I234" s="169"/>
      <c r="J234" s="71"/>
      <c r="K234" s="71"/>
    </row>
    <row r="235" ht="15.75" customHeight="1">
      <c r="A235" s="168"/>
      <c r="B235" s="168"/>
      <c r="C235" s="168"/>
      <c r="D235" s="168"/>
      <c r="E235" s="169"/>
      <c r="F235" s="169"/>
      <c r="G235" s="169"/>
      <c r="H235" s="169"/>
      <c r="I235" s="169"/>
      <c r="J235" s="71"/>
      <c r="K235" s="71"/>
    </row>
    <row r="236" ht="15.75" customHeight="1">
      <c r="A236" s="168"/>
      <c r="B236" s="168"/>
      <c r="C236" s="168"/>
      <c r="D236" s="168"/>
      <c r="E236" s="169"/>
      <c r="F236" s="169"/>
      <c r="G236" s="169"/>
      <c r="H236" s="169"/>
      <c r="I236" s="169"/>
      <c r="J236" s="71"/>
      <c r="K236" s="71"/>
    </row>
    <row r="237" ht="15.75" customHeight="1">
      <c r="A237" s="168"/>
      <c r="B237" s="168"/>
      <c r="C237" s="168"/>
      <c r="D237" s="168"/>
      <c r="E237" s="169"/>
      <c r="F237" s="169"/>
      <c r="G237" s="169"/>
      <c r="H237" s="169"/>
      <c r="I237" s="169"/>
      <c r="J237" s="71"/>
      <c r="K237" s="71"/>
    </row>
    <row r="238" ht="15.75" customHeight="1">
      <c r="A238" s="168"/>
      <c r="B238" s="168"/>
      <c r="C238" s="168"/>
      <c r="D238" s="168"/>
      <c r="E238" s="169"/>
      <c r="F238" s="169"/>
      <c r="G238" s="169"/>
      <c r="H238" s="169"/>
      <c r="I238" s="169"/>
      <c r="J238" s="71"/>
      <c r="K238" s="71"/>
    </row>
    <row r="239" ht="15.75" customHeight="1">
      <c r="A239" s="168"/>
      <c r="B239" s="168"/>
      <c r="C239" s="168"/>
      <c r="D239" s="168"/>
      <c r="E239" s="169"/>
      <c r="F239" s="169"/>
      <c r="G239" s="169"/>
      <c r="H239" s="169"/>
      <c r="I239" s="169"/>
      <c r="J239" s="71"/>
      <c r="K239" s="71"/>
    </row>
    <row r="240" ht="15.75" customHeight="1">
      <c r="A240" s="168"/>
      <c r="B240" s="168"/>
      <c r="C240" s="168"/>
      <c r="D240" s="168"/>
      <c r="E240" s="169"/>
      <c r="F240" s="169"/>
      <c r="G240" s="169"/>
      <c r="H240" s="169"/>
      <c r="I240" s="169"/>
      <c r="J240" s="71"/>
      <c r="K240" s="71"/>
    </row>
    <row r="241" ht="15.75" customHeight="1">
      <c r="A241" s="168"/>
      <c r="B241" s="168"/>
      <c r="C241" s="168"/>
      <c r="D241" s="168"/>
      <c r="E241" s="169"/>
      <c r="F241" s="169"/>
      <c r="G241" s="169"/>
      <c r="H241" s="169"/>
      <c r="I241" s="169"/>
      <c r="J241" s="71"/>
      <c r="K241" s="71"/>
    </row>
    <row r="242" ht="15.75" customHeight="1">
      <c r="A242" s="168"/>
      <c r="B242" s="168"/>
      <c r="C242" s="168"/>
      <c r="D242" s="168"/>
      <c r="E242" s="169"/>
      <c r="F242" s="169"/>
      <c r="G242" s="169"/>
      <c r="H242" s="169"/>
      <c r="I242" s="169"/>
      <c r="J242" s="71"/>
      <c r="K242" s="71"/>
    </row>
    <row r="243" ht="15.75" customHeight="1">
      <c r="A243" s="168"/>
      <c r="B243" s="168"/>
      <c r="C243" s="168"/>
      <c r="D243" s="168"/>
      <c r="E243" s="169"/>
      <c r="F243" s="169"/>
      <c r="G243" s="169"/>
      <c r="H243" s="169"/>
      <c r="I243" s="169"/>
      <c r="J243" s="71"/>
      <c r="K243" s="71"/>
    </row>
    <row r="244" ht="15.75" customHeight="1">
      <c r="A244" s="168"/>
      <c r="B244" s="168"/>
      <c r="C244" s="168"/>
      <c r="D244" s="168"/>
      <c r="E244" s="169"/>
      <c r="F244" s="169"/>
      <c r="G244" s="169"/>
      <c r="H244" s="169"/>
      <c r="I244" s="169"/>
      <c r="J244" s="71"/>
      <c r="K244" s="71"/>
    </row>
    <row r="245" ht="15.75" customHeight="1">
      <c r="A245" s="168"/>
      <c r="B245" s="168"/>
      <c r="C245" s="168"/>
      <c r="D245" s="168"/>
      <c r="E245" s="169"/>
      <c r="F245" s="169"/>
      <c r="G245" s="169"/>
      <c r="H245" s="169"/>
      <c r="I245" s="169"/>
      <c r="J245" s="71"/>
      <c r="K245" s="71"/>
    </row>
    <row r="246" ht="15.75" customHeight="1">
      <c r="A246" s="168"/>
      <c r="B246" s="168"/>
      <c r="C246" s="168"/>
      <c r="D246" s="168"/>
      <c r="E246" s="169"/>
      <c r="F246" s="169"/>
      <c r="G246" s="169"/>
      <c r="H246" s="169"/>
      <c r="I246" s="169"/>
      <c r="J246" s="71"/>
      <c r="K246" s="71"/>
    </row>
    <row r="247" ht="15.75" customHeight="1">
      <c r="A247" s="168"/>
      <c r="B247" s="168"/>
      <c r="C247" s="168"/>
      <c r="D247" s="168"/>
      <c r="E247" s="169"/>
      <c r="F247" s="169"/>
      <c r="G247" s="169"/>
      <c r="H247" s="169"/>
      <c r="I247" s="169"/>
      <c r="J247" s="71"/>
      <c r="K247" s="71"/>
    </row>
    <row r="248" ht="15.75" customHeight="1">
      <c r="A248" s="168"/>
      <c r="B248" s="168"/>
      <c r="C248" s="168"/>
      <c r="D248" s="168"/>
      <c r="E248" s="169"/>
      <c r="F248" s="169"/>
      <c r="G248" s="169"/>
      <c r="H248" s="169"/>
      <c r="I248" s="169"/>
      <c r="J248" s="71"/>
      <c r="K248" s="71"/>
    </row>
    <row r="249" ht="15.75" customHeight="1">
      <c r="A249" s="168"/>
      <c r="B249" s="168"/>
      <c r="C249" s="168"/>
      <c r="D249" s="168"/>
      <c r="E249" s="169"/>
      <c r="F249" s="169"/>
      <c r="G249" s="169"/>
      <c r="H249" s="169"/>
      <c r="I249" s="169"/>
      <c r="J249" s="71"/>
      <c r="K249" s="71"/>
    </row>
    <row r="250" ht="15.75" customHeight="1">
      <c r="A250" s="168"/>
      <c r="B250" s="168"/>
      <c r="C250" s="168"/>
      <c r="D250" s="168"/>
      <c r="E250" s="169"/>
      <c r="F250" s="169"/>
      <c r="G250" s="169"/>
      <c r="H250" s="169"/>
      <c r="I250" s="169"/>
      <c r="J250" s="71"/>
      <c r="K250" s="71"/>
    </row>
    <row r="251" ht="15.75" customHeight="1">
      <c r="A251" s="168"/>
      <c r="B251" s="168"/>
      <c r="C251" s="168"/>
      <c r="D251" s="168"/>
      <c r="E251" s="169"/>
      <c r="F251" s="169"/>
      <c r="G251" s="169"/>
      <c r="H251" s="169"/>
      <c r="I251" s="169"/>
      <c r="J251" s="71"/>
      <c r="K251" s="71"/>
    </row>
    <row r="252" ht="15.75" customHeight="1">
      <c r="A252" s="168"/>
      <c r="B252" s="168"/>
      <c r="C252" s="168"/>
      <c r="D252" s="168"/>
      <c r="E252" s="169"/>
      <c r="F252" s="169"/>
      <c r="G252" s="169"/>
      <c r="H252" s="169"/>
      <c r="I252" s="169"/>
      <c r="J252" s="71"/>
      <c r="K252" s="71"/>
    </row>
    <row r="253" ht="15.75" customHeight="1">
      <c r="A253" s="168"/>
      <c r="B253" s="168"/>
      <c r="C253" s="168"/>
      <c r="D253" s="168"/>
      <c r="E253" s="169"/>
      <c r="F253" s="169"/>
      <c r="G253" s="169"/>
      <c r="H253" s="169"/>
      <c r="I253" s="169"/>
      <c r="J253" s="71"/>
      <c r="K253" s="71"/>
    </row>
    <row r="254" ht="15.75" customHeight="1">
      <c r="A254" s="168"/>
      <c r="B254" s="168"/>
      <c r="C254" s="168"/>
      <c r="D254" s="168"/>
      <c r="E254" s="169"/>
      <c r="F254" s="169"/>
      <c r="G254" s="169"/>
      <c r="H254" s="169"/>
      <c r="I254" s="169"/>
      <c r="J254" s="71"/>
      <c r="K254" s="71"/>
    </row>
    <row r="255" ht="15.75" customHeight="1">
      <c r="A255" s="168"/>
      <c r="B255" s="168"/>
      <c r="C255" s="168"/>
      <c r="D255" s="168"/>
      <c r="E255" s="169"/>
      <c r="F255" s="169"/>
      <c r="G255" s="169"/>
      <c r="H255" s="169"/>
      <c r="I255" s="169"/>
      <c r="J255" s="71"/>
      <c r="K255" s="71"/>
    </row>
    <row r="256" ht="15.75" customHeight="1">
      <c r="A256" s="168"/>
      <c r="B256" s="168"/>
      <c r="C256" s="168"/>
      <c r="D256" s="168"/>
      <c r="E256" s="169"/>
      <c r="F256" s="169"/>
      <c r="G256" s="169"/>
      <c r="H256" s="169"/>
      <c r="I256" s="169"/>
      <c r="J256" s="71"/>
      <c r="K256" s="71"/>
    </row>
    <row r="257" ht="15.75" customHeight="1">
      <c r="A257" s="168"/>
      <c r="B257" s="168"/>
      <c r="C257" s="168"/>
      <c r="D257" s="168"/>
      <c r="E257" s="169"/>
      <c r="F257" s="169"/>
      <c r="G257" s="169"/>
      <c r="H257" s="169"/>
      <c r="I257" s="169"/>
      <c r="J257" s="71"/>
      <c r="K257" s="71"/>
    </row>
    <row r="258" ht="15.75" customHeight="1">
      <c r="A258" s="168"/>
      <c r="B258" s="168"/>
      <c r="C258" s="168"/>
      <c r="D258" s="168"/>
      <c r="E258" s="169"/>
      <c r="F258" s="169"/>
      <c r="G258" s="169"/>
      <c r="H258" s="169"/>
      <c r="I258" s="169"/>
      <c r="J258" s="71"/>
      <c r="K258" s="71"/>
    </row>
    <row r="259" ht="15.75" customHeight="1">
      <c r="A259" s="168"/>
      <c r="B259" s="168"/>
      <c r="C259" s="168"/>
      <c r="D259" s="168"/>
      <c r="E259" s="169"/>
      <c r="F259" s="169"/>
      <c r="G259" s="169"/>
      <c r="H259" s="169"/>
      <c r="I259" s="169"/>
      <c r="J259" s="71"/>
      <c r="K259" s="71"/>
    </row>
    <row r="260" ht="15.75" customHeight="1">
      <c r="A260" s="168"/>
      <c r="B260" s="168"/>
      <c r="C260" s="168"/>
      <c r="D260" s="168"/>
      <c r="E260" s="169"/>
      <c r="F260" s="169"/>
      <c r="G260" s="169"/>
      <c r="H260" s="169"/>
      <c r="I260" s="169"/>
      <c r="J260" s="71"/>
      <c r="K260" s="71"/>
    </row>
    <row r="261" ht="15.75" customHeight="1">
      <c r="A261" s="168"/>
      <c r="B261" s="168"/>
      <c r="C261" s="168"/>
      <c r="D261" s="168"/>
      <c r="E261" s="169"/>
      <c r="F261" s="169"/>
      <c r="G261" s="169"/>
      <c r="H261" s="169"/>
      <c r="I261" s="169"/>
      <c r="J261" s="71"/>
      <c r="K261" s="71"/>
    </row>
    <row r="262" ht="15.75" customHeight="1">
      <c r="A262" s="168"/>
      <c r="B262" s="168"/>
      <c r="C262" s="168"/>
      <c r="D262" s="168"/>
      <c r="E262" s="169"/>
      <c r="F262" s="169"/>
      <c r="G262" s="169"/>
      <c r="H262" s="169"/>
      <c r="I262" s="169"/>
      <c r="J262" s="71"/>
      <c r="K262" s="71"/>
    </row>
    <row r="263" ht="15.75" customHeight="1">
      <c r="A263" s="168"/>
      <c r="B263" s="168"/>
      <c r="C263" s="168"/>
      <c r="D263" s="168"/>
      <c r="E263" s="169"/>
      <c r="F263" s="169"/>
      <c r="G263" s="169"/>
      <c r="H263" s="169"/>
      <c r="I263" s="169"/>
      <c r="J263" s="71"/>
      <c r="K263" s="71"/>
    </row>
    <row r="264" ht="15.75" customHeight="1">
      <c r="A264" s="168"/>
      <c r="B264" s="168"/>
      <c r="C264" s="168"/>
      <c r="D264" s="168"/>
      <c r="E264" s="169"/>
      <c r="F264" s="169"/>
      <c r="G264" s="169"/>
      <c r="H264" s="169"/>
      <c r="I264" s="169"/>
      <c r="J264" s="71"/>
      <c r="K264" s="71"/>
    </row>
    <row r="265" ht="15.75" customHeight="1">
      <c r="A265" s="168"/>
      <c r="B265" s="168"/>
      <c r="C265" s="168"/>
      <c r="D265" s="168"/>
      <c r="E265" s="169"/>
      <c r="F265" s="169"/>
      <c r="G265" s="169"/>
      <c r="H265" s="169"/>
      <c r="I265" s="169"/>
      <c r="J265" s="71"/>
      <c r="K265" s="71"/>
    </row>
    <row r="266" ht="15.75" customHeight="1">
      <c r="A266" s="168"/>
      <c r="B266" s="168"/>
      <c r="C266" s="168"/>
      <c r="D266" s="168"/>
      <c r="E266" s="169"/>
      <c r="F266" s="169"/>
      <c r="G266" s="169"/>
      <c r="H266" s="169"/>
      <c r="I266" s="169"/>
      <c r="J266" s="71"/>
      <c r="K266" s="71"/>
    </row>
    <row r="267" ht="15.75" customHeight="1">
      <c r="A267" s="168"/>
      <c r="B267" s="168"/>
      <c r="C267" s="168"/>
      <c r="D267" s="168"/>
      <c r="E267" s="169"/>
      <c r="F267" s="169"/>
      <c r="G267" s="169"/>
      <c r="H267" s="169"/>
      <c r="I267" s="169"/>
      <c r="J267" s="71"/>
      <c r="K267" s="71"/>
    </row>
    <row r="268" ht="15.75" customHeight="1">
      <c r="A268" s="168"/>
      <c r="B268" s="168"/>
      <c r="C268" s="168"/>
      <c r="D268" s="168"/>
      <c r="E268" s="169"/>
      <c r="F268" s="169"/>
      <c r="G268" s="169"/>
      <c r="H268" s="169"/>
      <c r="I268" s="169"/>
      <c r="J268" s="71"/>
      <c r="K268" s="71"/>
    </row>
    <row r="269" ht="15.75" customHeight="1">
      <c r="A269" s="168"/>
      <c r="B269" s="168"/>
      <c r="C269" s="168"/>
      <c r="D269" s="168"/>
      <c r="E269" s="169"/>
      <c r="F269" s="169"/>
      <c r="G269" s="169"/>
      <c r="H269" s="169"/>
      <c r="I269" s="169"/>
      <c r="J269" s="71"/>
      <c r="K269" s="71"/>
    </row>
    <row r="270" ht="15.75" customHeight="1">
      <c r="A270" s="168"/>
      <c r="B270" s="168"/>
      <c r="C270" s="168"/>
      <c r="D270" s="168"/>
      <c r="E270" s="169"/>
      <c r="F270" s="169"/>
      <c r="G270" s="169"/>
      <c r="H270" s="169"/>
      <c r="I270" s="169"/>
      <c r="J270" s="71"/>
      <c r="K270" s="71"/>
    </row>
    <row r="271" ht="15.75" customHeight="1">
      <c r="A271" s="168"/>
      <c r="B271" s="168"/>
      <c r="C271" s="168"/>
      <c r="D271" s="168"/>
      <c r="E271" s="169"/>
      <c r="F271" s="169"/>
      <c r="G271" s="169"/>
      <c r="H271" s="169"/>
      <c r="I271" s="169"/>
      <c r="J271" s="71"/>
      <c r="K271" s="71"/>
    </row>
    <row r="272" ht="15.75" customHeight="1">
      <c r="A272" s="168"/>
      <c r="B272" s="168"/>
      <c r="C272" s="168"/>
      <c r="D272" s="168"/>
      <c r="E272" s="169"/>
      <c r="F272" s="169"/>
      <c r="G272" s="169"/>
      <c r="H272" s="169"/>
      <c r="I272" s="169"/>
      <c r="J272" s="71"/>
      <c r="K272" s="71"/>
    </row>
    <row r="273" ht="15.75" customHeight="1">
      <c r="A273" s="168"/>
      <c r="B273" s="168"/>
      <c r="C273" s="168"/>
      <c r="D273" s="168"/>
      <c r="E273" s="169"/>
      <c r="F273" s="169"/>
      <c r="G273" s="169"/>
      <c r="H273" s="169"/>
      <c r="I273" s="169"/>
      <c r="J273" s="71"/>
      <c r="K273" s="71"/>
    </row>
    <row r="274" ht="15.75" customHeight="1">
      <c r="A274" s="168"/>
      <c r="B274" s="168"/>
      <c r="C274" s="168"/>
      <c r="D274" s="168"/>
      <c r="E274" s="169"/>
      <c r="F274" s="169"/>
      <c r="G274" s="169"/>
      <c r="H274" s="169"/>
      <c r="I274" s="169"/>
      <c r="J274" s="71"/>
      <c r="K274" s="71"/>
    </row>
    <row r="275" ht="15.75" customHeight="1">
      <c r="A275" s="168"/>
      <c r="B275" s="168"/>
      <c r="C275" s="168"/>
      <c r="D275" s="168"/>
      <c r="E275" s="169"/>
      <c r="F275" s="169"/>
      <c r="G275" s="169"/>
      <c r="H275" s="169"/>
      <c r="I275" s="169"/>
      <c r="J275" s="71"/>
      <c r="K275" s="71"/>
    </row>
    <row r="276" ht="15.75" customHeight="1">
      <c r="A276" s="168"/>
      <c r="B276" s="168"/>
      <c r="C276" s="168"/>
      <c r="D276" s="168"/>
      <c r="E276" s="169"/>
      <c r="F276" s="169"/>
      <c r="G276" s="169"/>
      <c r="H276" s="169"/>
      <c r="I276" s="169"/>
      <c r="J276" s="71"/>
      <c r="K276" s="71"/>
    </row>
    <row r="277" ht="15.75" customHeight="1">
      <c r="A277" s="168"/>
      <c r="B277" s="168"/>
      <c r="C277" s="168"/>
      <c r="D277" s="168"/>
      <c r="E277" s="169"/>
      <c r="F277" s="169"/>
      <c r="G277" s="169"/>
      <c r="H277" s="169"/>
      <c r="I277" s="169"/>
      <c r="J277" s="71"/>
      <c r="K277" s="71"/>
    </row>
    <row r="278" ht="15.75" customHeight="1">
      <c r="A278" s="168"/>
      <c r="B278" s="168"/>
      <c r="C278" s="168"/>
      <c r="D278" s="168"/>
      <c r="E278" s="169"/>
      <c r="F278" s="169"/>
      <c r="G278" s="169"/>
      <c r="H278" s="169"/>
      <c r="I278" s="169"/>
      <c r="J278" s="71"/>
      <c r="K278" s="71"/>
    </row>
    <row r="279" ht="15.75" customHeight="1">
      <c r="A279" s="168"/>
      <c r="B279" s="168"/>
      <c r="C279" s="168"/>
      <c r="D279" s="168"/>
      <c r="E279" s="169"/>
      <c r="F279" s="169"/>
      <c r="G279" s="169"/>
      <c r="H279" s="169"/>
      <c r="I279" s="169"/>
      <c r="J279" s="71"/>
      <c r="K279" s="71"/>
    </row>
    <row r="280" ht="15.75" customHeight="1">
      <c r="A280" s="168"/>
      <c r="B280" s="168"/>
      <c r="C280" s="168"/>
      <c r="D280" s="168"/>
      <c r="E280" s="169"/>
      <c r="F280" s="169"/>
      <c r="G280" s="169"/>
      <c r="H280" s="169"/>
      <c r="I280" s="169"/>
      <c r="J280" s="71"/>
      <c r="K280" s="71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E2:J2"/>
    <mergeCell ref="A3:A4"/>
    <mergeCell ref="B3:B4"/>
    <mergeCell ref="C3:C4"/>
    <mergeCell ref="D3:D4"/>
    <mergeCell ref="A66:D66"/>
    <mergeCell ref="A67:D67"/>
    <mergeCell ref="A75:D75"/>
    <mergeCell ref="A76:D76"/>
    <mergeCell ref="A77:D77"/>
    <mergeCell ref="A78:D78"/>
    <mergeCell ref="A68:D68"/>
    <mergeCell ref="A69:D69"/>
    <mergeCell ref="A70:D70"/>
    <mergeCell ref="A71:D71"/>
    <mergeCell ref="A72:D72"/>
    <mergeCell ref="A73:D73"/>
    <mergeCell ref="A74:D74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9.88"/>
    <col customWidth="1" min="4" max="4" width="19.13"/>
    <col customWidth="1" min="5" max="26" width="8.63"/>
  </cols>
  <sheetData>
    <row r="1" ht="12.75" customHeight="1"/>
    <row r="2" ht="12.75" customHeight="1"/>
    <row r="3" ht="12.75" customHeight="1">
      <c r="B3" s="239" t="s">
        <v>608</v>
      </c>
      <c r="C3" s="240">
        <v>9.11724104002E11</v>
      </c>
      <c r="D3" s="241" t="s">
        <v>15</v>
      </c>
      <c r="E3" s="242">
        <v>94.0</v>
      </c>
      <c r="F3" s="243">
        <v>73.0</v>
      </c>
      <c r="G3" s="243">
        <v>83.0</v>
      </c>
      <c r="H3" s="244">
        <v>62.0</v>
      </c>
      <c r="I3" s="243">
        <v>84.0</v>
      </c>
    </row>
    <row r="4" ht="12.75" customHeight="1">
      <c r="C4" s="240">
        <v>9.11724104104E11</v>
      </c>
      <c r="D4" s="241" t="s">
        <v>67</v>
      </c>
      <c r="E4" s="245">
        <v>84.0</v>
      </c>
      <c r="F4" s="246">
        <v>83.0</v>
      </c>
      <c r="G4" s="243">
        <v>77.0</v>
      </c>
      <c r="H4" s="244">
        <v>70.0</v>
      </c>
      <c r="I4" s="243">
        <v>75.0</v>
      </c>
    </row>
    <row r="5" ht="12.75" customHeight="1">
      <c r="C5" s="240">
        <v>9.11724104018E11</v>
      </c>
      <c r="D5" s="241" t="s">
        <v>24</v>
      </c>
      <c r="E5" s="245">
        <v>92.0</v>
      </c>
      <c r="F5" s="246">
        <v>76.0</v>
      </c>
      <c r="G5" s="243">
        <v>66.0</v>
      </c>
      <c r="H5" s="244">
        <v>80.0</v>
      </c>
      <c r="I5" s="243">
        <v>72.0</v>
      </c>
    </row>
    <row r="6" ht="12.75" customHeight="1">
      <c r="B6" s="225" t="s">
        <v>609</v>
      </c>
      <c r="C6" s="247">
        <v>9.11724104004E11</v>
      </c>
      <c r="D6" s="248" t="s">
        <v>98</v>
      </c>
      <c r="E6" s="94">
        <v>87.0</v>
      </c>
      <c r="F6" s="94"/>
      <c r="G6" s="77"/>
      <c r="H6" s="95">
        <v>80.0</v>
      </c>
      <c r="I6" s="94">
        <v>69.0</v>
      </c>
    </row>
    <row r="7" ht="12.75" customHeight="1">
      <c r="C7" s="247">
        <v>9.11724104113E11</v>
      </c>
      <c r="D7" s="248" t="s">
        <v>150</v>
      </c>
      <c r="E7" s="94"/>
      <c r="F7" s="94"/>
      <c r="G7" s="77"/>
      <c r="H7" s="95">
        <v>70.0</v>
      </c>
      <c r="I7" s="94">
        <v>75.0</v>
      </c>
    </row>
    <row r="8" ht="12.75" customHeight="1">
      <c r="C8" s="247">
        <v>9.11724104035E11</v>
      </c>
      <c r="D8" s="248" t="s">
        <v>114</v>
      </c>
      <c r="E8" s="94">
        <v>92.0</v>
      </c>
      <c r="F8" s="94"/>
      <c r="G8" s="77"/>
      <c r="H8" s="95">
        <v>66.0</v>
      </c>
      <c r="I8" s="94">
        <v>80.0</v>
      </c>
    </row>
    <row r="9" ht="12.75" customHeight="1">
      <c r="B9" s="249" t="s">
        <v>610</v>
      </c>
      <c r="C9" s="250" t="s">
        <v>220</v>
      </c>
      <c r="D9" s="155" t="s">
        <v>221</v>
      </c>
    </row>
    <row r="10" ht="12.75" customHeight="1">
      <c r="B10" s="251"/>
      <c r="C10" s="250" t="s">
        <v>188</v>
      </c>
      <c r="D10" s="155" t="s">
        <v>189</v>
      </c>
    </row>
    <row r="11" ht="12.75" customHeight="1">
      <c r="B11" s="251"/>
      <c r="C11" s="250" t="s">
        <v>257</v>
      </c>
      <c r="D11" s="155" t="s">
        <v>258</v>
      </c>
    </row>
    <row r="12" ht="12.75" customHeight="1">
      <c r="B12" s="249" t="s">
        <v>611</v>
      </c>
      <c r="C12" s="250" t="s">
        <v>354</v>
      </c>
      <c r="D12" s="252" t="s">
        <v>355</v>
      </c>
    </row>
    <row r="13" ht="12.75" customHeight="1">
      <c r="B13" s="251"/>
      <c r="C13" s="250" t="s">
        <v>308</v>
      </c>
      <c r="D13" s="252" t="s">
        <v>309</v>
      </c>
    </row>
    <row r="14" ht="12.75" customHeight="1">
      <c r="B14" s="251"/>
      <c r="C14" s="250" t="s">
        <v>334</v>
      </c>
      <c r="D14" s="252" t="s">
        <v>335</v>
      </c>
    </row>
    <row r="15" ht="12.75" customHeight="1">
      <c r="B15" s="249" t="s">
        <v>612</v>
      </c>
      <c r="C15" s="253">
        <v>9.11722104072E11</v>
      </c>
      <c r="D15" s="155" t="s">
        <v>460</v>
      </c>
    </row>
    <row r="16" ht="12.75" customHeight="1">
      <c r="B16" s="251"/>
      <c r="C16" s="253">
        <v>9.11722104019E11</v>
      </c>
      <c r="D16" s="155" t="s">
        <v>434</v>
      </c>
    </row>
    <row r="17" ht="12.75" customHeight="1">
      <c r="B17" s="251"/>
      <c r="C17" s="253">
        <v>9.1172210406E11</v>
      </c>
      <c r="D17" s="155" t="s">
        <v>456</v>
      </c>
    </row>
    <row r="18" ht="12.75" customHeight="1">
      <c r="B18" s="249" t="s">
        <v>613</v>
      </c>
      <c r="C18" s="250" t="s">
        <v>569</v>
      </c>
      <c r="D18" s="155" t="s">
        <v>570</v>
      </c>
    </row>
    <row r="19" ht="12.75" customHeight="1">
      <c r="B19" s="251"/>
      <c r="C19" s="250" t="s">
        <v>529</v>
      </c>
      <c r="D19" s="155" t="s">
        <v>530</v>
      </c>
    </row>
    <row r="20" ht="12.75" customHeight="1">
      <c r="B20" s="251"/>
      <c r="C20" s="250" t="s">
        <v>575</v>
      </c>
      <c r="D20" s="155" t="s">
        <v>576</v>
      </c>
    </row>
    <row r="21" ht="12.75" customHeight="1">
      <c r="B21" s="251"/>
      <c r="C21" s="250" t="s">
        <v>587</v>
      </c>
      <c r="D21" s="155" t="s">
        <v>588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3:B5"/>
    <mergeCell ref="B6:B8"/>
    <mergeCell ref="B9:B11"/>
    <mergeCell ref="B12:B14"/>
    <mergeCell ref="B15:B17"/>
    <mergeCell ref="B18:B21"/>
  </mergeCells>
  <conditionalFormatting sqref="G3:I5">
    <cfRule type="expression" dxfId="0" priority="1">
      <formula>G3&gt;=50</formula>
    </cfRule>
  </conditionalFormatting>
  <conditionalFormatting sqref="G3:I5">
    <cfRule type="expression" dxfId="1" priority="2">
      <formula>G3&lt;50</formula>
    </cfRule>
  </conditionalFormatting>
  <conditionalFormatting sqref="G3">
    <cfRule type="containsText" dxfId="2" priority="3" operator="containsText" text="AB">
      <formula>NOT(ISERROR(SEARCH(("AB"),(G3))))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